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eliacompanyspace-my.sharepoint.com/personal/mika_keski-heikkila_teliacompany_com/Documents/03-Development/Aalto tekniikan tohtorikoulutus/Recearch Plan/Article2/"/>
    </mc:Choice>
  </mc:AlternateContent>
  <xr:revisionPtr revIDLastSave="600" documentId="8_{1CA644B5-75BF-4781-AEC7-2ABCECF8354A}" xr6:coauthVersionLast="47" xr6:coauthVersionMax="47" xr10:uidLastSave="{F8D636D9-705D-4C9A-8010-562326D70CA7}"/>
  <bookViews>
    <workbookView xWindow="-108" yWindow="-108" windowWidth="23256" windowHeight="13896" activeTab="2" xr2:uid="{C443B6F8-041B-49BC-BDA0-ADF1DC3A8C26}"/>
  </bookViews>
  <sheets>
    <sheet name="Old HW &amp; Old SW" sheetId="3" r:id="rId1"/>
    <sheet name="Old SW Spring 2024" sheetId="2" r:id="rId2"/>
    <sheet name="New SW Sep 2024" sheetId="1" r:id="rId3"/>
  </sheets>
  <definedNames>
    <definedName name="_xlchart.v1.0" hidden="1">'Old HW &amp; Old SW'!$A$2:$A$36</definedName>
    <definedName name="_xlchart.v1.1" hidden="1">'Old HW &amp; Old SW'!$H$1</definedName>
    <definedName name="_xlchart.v1.2" hidden="1">'Old HW &amp; Old SW'!$H$2:$H$218</definedName>
    <definedName name="_xlchart.v1.3" hidden="1">'Old SW Spring 2024'!$A$3:$A$123</definedName>
    <definedName name="_xlchart.v1.4" hidden="1">'New SW Sep 2024'!$A$2</definedName>
    <definedName name="_xlchart.v1.5" hidden="1">'New SW Sep 2024'!$A$3:$A$149</definedName>
    <definedName name="_xlchart.v1.6" hidden="1">'New SW Sep 2024'!$A$2</definedName>
    <definedName name="_xlchart.v1.7" hidden="1">'New SW Sep 2024'!$A$3:$A$149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H11" i="1"/>
  <c r="H12" i="1"/>
  <c r="H13" i="1"/>
  <c r="H14" i="1"/>
  <c r="H15" i="1"/>
  <c r="H16" i="1"/>
  <c r="H17" i="1"/>
  <c r="H18" i="1"/>
  <c r="H19" i="1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26" i="3"/>
  <c r="E6" i="2"/>
  <c r="L1" i="3"/>
  <c r="L5" i="3"/>
  <c r="L6" i="3" s="1"/>
  <c r="L4" i="3"/>
  <c r="L3" i="3"/>
  <c r="L2" i="3"/>
  <c r="G9" i="1"/>
  <c r="H10" i="1" s="1"/>
  <c r="D6" i="1"/>
  <c r="D5" i="1"/>
  <c r="D4" i="1"/>
  <c r="D3" i="1"/>
  <c r="D2" i="1"/>
  <c r="D7" i="1"/>
  <c r="E10" i="2"/>
  <c r="D2" i="2"/>
  <c r="G5" i="2"/>
  <c r="F5" i="2"/>
  <c r="E5" i="2"/>
  <c r="D6" i="2"/>
  <c r="D7" i="2" s="1"/>
  <c r="D5" i="2"/>
  <c r="D4" i="2"/>
  <c r="D3" i="2"/>
  <c r="Q5" i="3"/>
  <c r="Q1" i="3" s="1"/>
  <c r="Q2" i="3" s="1"/>
  <c r="S2" i="3"/>
  <c r="R2" i="3"/>
  <c r="S1" i="3"/>
  <c r="R1" i="3"/>
  <c r="Q115" i="3"/>
  <c r="R115" i="3"/>
  <c r="S115" i="3"/>
  <c r="P115" i="3"/>
  <c r="N116" i="3"/>
  <c r="O116" i="3"/>
  <c r="Q114" i="3"/>
  <c r="R114" i="3"/>
  <c r="S114" i="3"/>
  <c r="P114" i="3"/>
  <c r="N115" i="3"/>
  <c r="O115" i="3" s="1"/>
  <c r="Q111" i="3"/>
  <c r="R111" i="3"/>
  <c r="S111" i="3"/>
  <c r="Q112" i="3"/>
  <c r="R112" i="3"/>
  <c r="S112" i="3"/>
  <c r="Q113" i="3"/>
  <c r="R113" i="3"/>
  <c r="S113" i="3"/>
  <c r="Q108" i="3"/>
  <c r="R108" i="3"/>
  <c r="S108" i="3"/>
  <c r="Q109" i="3"/>
  <c r="R109" i="3"/>
  <c r="S109" i="3"/>
  <c r="Q110" i="3"/>
  <c r="R110" i="3"/>
  <c r="S110" i="3"/>
  <c r="P108" i="3"/>
  <c r="P109" i="3"/>
  <c r="P110" i="3"/>
  <c r="P111" i="3"/>
  <c r="P112" i="3"/>
  <c r="P113" i="3"/>
  <c r="N109" i="3"/>
  <c r="N110" i="3" s="1"/>
  <c r="O109" i="3"/>
  <c r="Q4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" i="3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3" i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" i="2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3" i="3"/>
  <c r="V5" i="3"/>
  <c r="V6" i="3"/>
  <c r="V7" i="3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4" i="3"/>
  <c r="U4" i="3"/>
  <c r="U5" i="3"/>
  <c r="U6" i="3"/>
  <c r="U7" i="3"/>
  <c r="U8" i="3"/>
  <c r="U9" i="3"/>
  <c r="U10" i="3"/>
  <c r="U11" i="3"/>
  <c r="U12" i="3"/>
  <c r="U13" i="3"/>
  <c r="U14" i="3"/>
  <c r="U15" i="3"/>
  <c r="U3" i="3"/>
  <c r="P107" i="3"/>
  <c r="N108" i="3"/>
  <c r="O108" i="3" s="1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O3" i="3"/>
  <c r="B3" i="3"/>
  <c r="B2" i="3"/>
  <c r="R4" i="1"/>
  <c r="R5" i="1"/>
  <c r="R6" i="1"/>
  <c r="R7" i="1"/>
  <c r="R8" i="1"/>
  <c r="R9" i="1"/>
  <c r="R3" i="1"/>
  <c r="R5" i="2"/>
  <c r="S5" i="2"/>
  <c r="R6" i="2"/>
  <c r="S6" i="2"/>
  <c r="R7" i="2"/>
  <c r="S7" i="2"/>
  <c r="R8" i="2"/>
  <c r="S8" i="2"/>
  <c r="R9" i="2"/>
  <c r="S9" i="2"/>
  <c r="S10" i="2"/>
  <c r="S11" i="2"/>
  <c r="S12" i="2"/>
  <c r="S13" i="2"/>
  <c r="S14" i="2"/>
  <c r="S15" i="2"/>
  <c r="S4" i="2"/>
  <c r="R4" i="2"/>
  <c r="S3" i="2"/>
  <c r="R3" i="2"/>
  <c r="O3" i="2"/>
  <c r="N4" i="2" s="1"/>
  <c r="N5" i="2" s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O3" i="1"/>
  <c r="N4" i="1" s="1"/>
  <c r="N5" i="1" s="1"/>
  <c r="L27" i="3" l="1"/>
  <c r="F11" i="2"/>
  <c r="O110" i="3"/>
  <c r="N111" i="3"/>
  <c r="N4" i="3"/>
  <c r="P3" i="3"/>
  <c r="O5" i="2"/>
  <c r="P5" i="2"/>
  <c r="N6" i="2"/>
  <c r="N7" i="2"/>
  <c r="P4" i="2"/>
  <c r="O4" i="2"/>
  <c r="P3" i="2"/>
  <c r="O5" i="1"/>
  <c r="N6" i="1"/>
  <c r="P4" i="1"/>
  <c r="O4" i="1"/>
  <c r="P3" i="1"/>
  <c r="O111" i="3" l="1"/>
  <c r="N112" i="3"/>
  <c r="N5" i="3"/>
  <c r="O4" i="3"/>
  <c r="N6" i="3"/>
  <c r="P5" i="3"/>
  <c r="O5" i="3"/>
  <c r="O6" i="2"/>
  <c r="P6" i="2"/>
  <c r="N8" i="2"/>
  <c r="O7" i="2"/>
  <c r="P7" i="2"/>
  <c r="O6" i="1"/>
  <c r="N7" i="1"/>
  <c r="P6" i="1"/>
  <c r="P5" i="1"/>
  <c r="O112" i="3" l="1"/>
  <c r="N113" i="3"/>
  <c r="P4" i="3"/>
  <c r="N7" i="3"/>
  <c r="O6" i="3"/>
  <c r="N9" i="2"/>
  <c r="O8" i="2"/>
  <c r="P8" i="2"/>
  <c r="O7" i="1"/>
  <c r="N8" i="1"/>
  <c r="O113" i="3" l="1"/>
  <c r="N114" i="3"/>
  <c r="O114" i="3" s="1"/>
  <c r="P6" i="3"/>
  <c r="O7" i="3"/>
  <c r="N8" i="3"/>
  <c r="O9" i="2"/>
  <c r="N10" i="2"/>
  <c r="P9" i="2" s="1"/>
  <c r="O8" i="1"/>
  <c r="N9" i="1"/>
  <c r="P7" i="1"/>
  <c r="N9" i="3" l="1"/>
  <c r="O8" i="3"/>
  <c r="P7" i="3"/>
  <c r="O10" i="2"/>
  <c r="N11" i="2"/>
  <c r="O9" i="1"/>
  <c r="P9" i="1"/>
  <c r="N10" i="1"/>
  <c r="P8" i="1"/>
  <c r="N10" i="3" l="1"/>
  <c r="O9" i="3"/>
  <c r="P8" i="3"/>
  <c r="O11" i="2"/>
  <c r="N12" i="2"/>
  <c r="P10" i="2"/>
  <c r="O10" i="1"/>
  <c r="N11" i="1"/>
  <c r="N11" i="3" l="1"/>
  <c r="O10" i="3"/>
  <c r="P9" i="3"/>
  <c r="N13" i="2"/>
  <c r="O12" i="2"/>
  <c r="P11" i="2"/>
  <c r="N12" i="1"/>
  <c r="O11" i="1"/>
  <c r="P10" i="1"/>
  <c r="P10" i="3" l="1"/>
  <c r="O11" i="3"/>
  <c r="N12" i="3"/>
  <c r="O13" i="2"/>
  <c r="N14" i="2"/>
  <c r="P13" i="2"/>
  <c r="P12" i="2"/>
  <c r="O12" i="1"/>
  <c r="N13" i="1"/>
  <c r="P11" i="1"/>
  <c r="N13" i="3" l="1"/>
  <c r="O12" i="3"/>
  <c r="P12" i="3"/>
  <c r="P11" i="3"/>
  <c r="O14" i="2"/>
  <c r="N15" i="2"/>
  <c r="O13" i="1"/>
  <c r="N14" i="1"/>
  <c r="P13" i="1"/>
  <c r="P12" i="1"/>
  <c r="N14" i="3" l="1"/>
  <c r="O13" i="3"/>
  <c r="N16" i="2"/>
  <c r="O15" i="2"/>
  <c r="P15" i="2"/>
  <c r="P14" i="2"/>
  <c r="O14" i="1"/>
  <c r="N15" i="1"/>
  <c r="P13" i="3" l="1"/>
  <c r="N15" i="3"/>
  <c r="O14" i="3"/>
  <c r="N17" i="2"/>
  <c r="O16" i="2"/>
  <c r="P16" i="2"/>
  <c r="O15" i="1"/>
  <c r="N16" i="1"/>
  <c r="P14" i="1"/>
  <c r="P14" i="3" l="1"/>
  <c r="O15" i="3"/>
  <c r="N16" i="3"/>
  <c r="O17" i="2"/>
  <c r="N18" i="2"/>
  <c r="P17" i="2"/>
  <c r="O16" i="1"/>
  <c r="N17" i="1"/>
  <c r="P15" i="1"/>
  <c r="N17" i="3" l="1"/>
  <c r="P16" i="3"/>
  <c r="O16" i="3"/>
  <c r="P15" i="3"/>
  <c r="O18" i="2"/>
  <c r="N19" i="2"/>
  <c r="N18" i="1"/>
  <c r="O17" i="1"/>
  <c r="P17" i="1"/>
  <c r="P16" i="1"/>
  <c r="O17" i="3" l="1"/>
  <c r="N18" i="3"/>
  <c r="P17" i="3"/>
  <c r="O19" i="2"/>
  <c r="N20" i="2"/>
  <c r="P18" i="2"/>
  <c r="O18" i="1"/>
  <c r="N19" i="1"/>
  <c r="O18" i="3" l="1"/>
  <c r="N19" i="3"/>
  <c r="N21" i="2"/>
  <c r="P20" i="2"/>
  <c r="O20" i="2"/>
  <c r="P19" i="2"/>
  <c r="O19" i="1"/>
  <c r="N20" i="1"/>
  <c r="P18" i="1"/>
  <c r="N20" i="3" l="1"/>
  <c r="P19" i="3"/>
  <c r="O19" i="3"/>
  <c r="P18" i="3"/>
  <c r="O21" i="2"/>
  <c r="N22" i="2"/>
  <c r="P21" i="2"/>
  <c r="O20" i="1"/>
  <c r="N21" i="1"/>
  <c r="P19" i="1"/>
  <c r="O20" i="3" l="1"/>
  <c r="N21" i="3"/>
  <c r="O22" i="2"/>
  <c r="N23" i="2"/>
  <c r="N22" i="1"/>
  <c r="O21" i="1"/>
  <c r="P20" i="1"/>
  <c r="P20" i="3" l="1"/>
  <c r="N22" i="3"/>
  <c r="O21" i="3"/>
  <c r="P21" i="3"/>
  <c r="N24" i="2"/>
  <c r="O23" i="2"/>
  <c r="P23" i="2"/>
  <c r="P22" i="2"/>
  <c r="O22" i="1"/>
  <c r="N23" i="1"/>
  <c r="P21" i="1"/>
  <c r="N23" i="3" l="1"/>
  <c r="O22" i="3"/>
  <c r="N25" i="2"/>
  <c r="O24" i="2"/>
  <c r="P24" i="2"/>
  <c r="N24" i="1"/>
  <c r="P23" i="1"/>
  <c r="O23" i="1"/>
  <c r="P22" i="1"/>
  <c r="P22" i="3" l="1"/>
  <c r="O23" i="3"/>
  <c r="N24" i="3"/>
  <c r="P23" i="3"/>
  <c r="O25" i="2"/>
  <c r="N26" i="2"/>
  <c r="P25" i="2"/>
  <c r="O24" i="1"/>
  <c r="N25" i="1"/>
  <c r="N25" i="3" l="1"/>
  <c r="O24" i="3"/>
  <c r="O26" i="2"/>
  <c r="N27" i="2"/>
  <c r="O25" i="1"/>
  <c r="N26" i="1"/>
  <c r="P24" i="1"/>
  <c r="O25" i="3" l="1"/>
  <c r="N26" i="3"/>
  <c r="P24" i="3"/>
  <c r="O27" i="2"/>
  <c r="N28" i="2"/>
  <c r="P26" i="2"/>
  <c r="O26" i="1"/>
  <c r="N27" i="1"/>
  <c r="P25" i="1"/>
  <c r="N27" i="3" l="1"/>
  <c r="P26" i="3"/>
  <c r="O26" i="3"/>
  <c r="P25" i="3"/>
  <c r="N29" i="2"/>
  <c r="O28" i="2"/>
  <c r="P28" i="2"/>
  <c r="P27" i="2"/>
  <c r="N28" i="1"/>
  <c r="O27" i="1"/>
  <c r="P26" i="1"/>
  <c r="N28" i="3" l="1"/>
  <c r="O27" i="3"/>
  <c r="P27" i="3"/>
  <c r="O29" i="2"/>
  <c r="N30" i="2"/>
  <c r="P29" i="2"/>
  <c r="N29" i="1"/>
  <c r="O28" i="1"/>
  <c r="P27" i="1"/>
  <c r="N29" i="3" l="1"/>
  <c r="O28" i="3"/>
  <c r="P28" i="3"/>
  <c r="O30" i="2"/>
  <c r="N31" i="2"/>
  <c r="N30" i="1"/>
  <c r="O29" i="1"/>
  <c r="P29" i="1"/>
  <c r="P28" i="1"/>
  <c r="N30" i="3" l="1"/>
  <c r="O29" i="3"/>
  <c r="P29" i="3"/>
  <c r="N32" i="2"/>
  <c r="O31" i="2"/>
  <c r="P31" i="2"/>
  <c r="P30" i="2"/>
  <c r="O30" i="1"/>
  <c r="N31" i="1"/>
  <c r="P30" i="1"/>
  <c r="O30" i="3" l="1"/>
  <c r="N31" i="3"/>
  <c r="N33" i="2"/>
  <c r="O32" i="2"/>
  <c r="P32" i="2"/>
  <c r="O31" i="1"/>
  <c r="N32" i="1"/>
  <c r="P30" i="3" l="1"/>
  <c r="N32" i="3"/>
  <c r="P31" i="3"/>
  <c r="O31" i="3"/>
  <c r="O33" i="2"/>
  <c r="N34" i="2"/>
  <c r="P33" i="2"/>
  <c r="O32" i="1"/>
  <c r="N33" i="1"/>
  <c r="P31" i="1"/>
  <c r="O32" i="3" l="1"/>
  <c r="N33" i="3"/>
  <c r="O34" i="2"/>
  <c r="N35" i="2"/>
  <c r="O33" i="1"/>
  <c r="N34" i="1"/>
  <c r="P32" i="1"/>
  <c r="N34" i="3" l="1"/>
  <c r="P33" i="3"/>
  <c r="O33" i="3"/>
  <c r="P32" i="3"/>
  <c r="O35" i="2"/>
  <c r="N36" i="2"/>
  <c r="P34" i="2"/>
  <c r="O34" i="1"/>
  <c r="N35" i="1"/>
  <c r="P33" i="1"/>
  <c r="N35" i="3" l="1"/>
  <c r="O34" i="3"/>
  <c r="P34" i="3"/>
  <c r="N37" i="2"/>
  <c r="P36" i="2"/>
  <c r="O36" i="2"/>
  <c r="P35" i="2"/>
  <c r="N36" i="1"/>
  <c r="P35" i="1"/>
  <c r="O35" i="1"/>
  <c r="P34" i="1"/>
  <c r="N36" i="3" l="1"/>
  <c r="P35" i="3"/>
  <c r="O35" i="3"/>
  <c r="O37" i="2"/>
  <c r="Q1" i="2"/>
  <c r="Q2" i="2" s="1"/>
  <c r="P37" i="2"/>
  <c r="O36" i="1"/>
  <c r="N37" i="1"/>
  <c r="N37" i="3" l="1"/>
  <c r="O36" i="3"/>
  <c r="O37" i="1"/>
  <c r="N38" i="1"/>
  <c r="P36" i="1"/>
  <c r="N38" i="3" l="1"/>
  <c r="P37" i="3"/>
  <c r="O37" i="3"/>
  <c r="P36" i="3"/>
  <c r="O38" i="1"/>
  <c r="N39" i="1"/>
  <c r="P37" i="1"/>
  <c r="O38" i="3" l="1"/>
  <c r="N39" i="3"/>
  <c r="O39" i="1"/>
  <c r="N40" i="1"/>
  <c r="P38" i="1"/>
  <c r="N40" i="3" l="1"/>
  <c r="P39" i="3"/>
  <c r="O39" i="3"/>
  <c r="P38" i="3"/>
  <c r="N41" i="1"/>
  <c r="O40" i="1"/>
  <c r="P40" i="1"/>
  <c r="P39" i="1"/>
  <c r="O40" i="3" l="1"/>
  <c r="N41" i="3"/>
  <c r="N42" i="1"/>
  <c r="O41" i="1"/>
  <c r="P41" i="1"/>
  <c r="N42" i="3" l="1"/>
  <c r="O41" i="3"/>
  <c r="P41" i="3"/>
  <c r="P40" i="3"/>
  <c r="O42" i="1"/>
  <c r="N43" i="1"/>
  <c r="O42" i="3" l="1"/>
  <c r="N43" i="3"/>
  <c r="O43" i="1"/>
  <c r="N44" i="1"/>
  <c r="P42" i="1"/>
  <c r="N44" i="3" l="1"/>
  <c r="O43" i="3"/>
  <c r="P42" i="3"/>
  <c r="N45" i="1"/>
  <c r="O44" i="1"/>
  <c r="P44" i="1"/>
  <c r="P43" i="1"/>
  <c r="P43" i="3" l="1"/>
  <c r="N45" i="3"/>
  <c r="P44" i="3"/>
  <c r="O44" i="3"/>
  <c r="O45" i="1"/>
  <c r="N46" i="1"/>
  <c r="N46" i="3" l="1"/>
  <c r="O45" i="3"/>
  <c r="O46" i="1"/>
  <c r="N47" i="1"/>
  <c r="P45" i="1"/>
  <c r="O46" i="3" l="1"/>
  <c r="N47" i="3"/>
  <c r="P45" i="3"/>
  <c r="N48" i="1"/>
  <c r="O47" i="1"/>
  <c r="P47" i="1"/>
  <c r="P46" i="1"/>
  <c r="N48" i="3" l="1"/>
  <c r="P47" i="3"/>
  <c r="O47" i="3"/>
  <c r="P46" i="3"/>
  <c r="O48" i="1"/>
  <c r="N49" i="1"/>
  <c r="P48" i="1"/>
  <c r="O48" i="3" l="1"/>
  <c r="N49" i="3"/>
  <c r="N50" i="1"/>
  <c r="O49" i="1"/>
  <c r="N50" i="3" l="1"/>
  <c r="P49" i="3"/>
  <c r="O49" i="3"/>
  <c r="P48" i="3"/>
  <c r="O50" i="1"/>
  <c r="N51" i="1"/>
  <c r="P49" i="1"/>
  <c r="N51" i="3" l="1"/>
  <c r="P50" i="3"/>
  <c r="O50" i="3"/>
  <c r="O51" i="1"/>
  <c r="N52" i="1"/>
  <c r="P50" i="1"/>
  <c r="N52" i="3" l="1"/>
  <c r="O51" i="3"/>
  <c r="O52" i="1"/>
  <c r="N53" i="1"/>
  <c r="P51" i="1"/>
  <c r="O52" i="3" l="1"/>
  <c r="N53" i="3"/>
  <c r="P51" i="3"/>
  <c r="N54" i="1"/>
  <c r="O53" i="1"/>
  <c r="P53" i="1"/>
  <c r="P52" i="1"/>
  <c r="N54" i="3" l="1"/>
  <c r="P53" i="3"/>
  <c r="O53" i="3"/>
  <c r="P52" i="3"/>
  <c r="O54" i="1"/>
  <c r="N55" i="1"/>
  <c r="O54" i="3" l="1"/>
  <c r="N55" i="3"/>
  <c r="O55" i="1"/>
  <c r="N56" i="1"/>
  <c r="P54" i="1"/>
  <c r="N56" i="3" l="1"/>
  <c r="P55" i="3"/>
  <c r="O55" i="3"/>
  <c r="P54" i="3"/>
  <c r="O56" i="1"/>
  <c r="P56" i="1"/>
  <c r="N57" i="1"/>
  <c r="P55" i="1"/>
  <c r="N57" i="3" l="1"/>
  <c r="P56" i="3"/>
  <c r="O56" i="3"/>
  <c r="P57" i="1"/>
  <c r="O57" i="1"/>
  <c r="O57" i="3" l="1"/>
  <c r="N58" i="3"/>
  <c r="Q1" i="1"/>
  <c r="Q2" i="1" s="1"/>
  <c r="O58" i="3" l="1"/>
  <c r="N59" i="3"/>
  <c r="P57" i="3"/>
  <c r="N60" i="3" l="1"/>
  <c r="P59" i="3"/>
  <c r="O59" i="3"/>
  <c r="P58" i="3"/>
  <c r="O60" i="3" l="1"/>
  <c r="N61" i="3"/>
  <c r="P60" i="3" l="1"/>
  <c r="N62" i="3"/>
  <c r="P61" i="3"/>
  <c r="O61" i="3"/>
  <c r="N63" i="3" l="1"/>
  <c r="P62" i="3"/>
  <c r="O62" i="3"/>
  <c r="O63" i="3" l="1"/>
  <c r="N64" i="3"/>
  <c r="O64" i="3" l="1"/>
  <c r="N65" i="3"/>
  <c r="P63" i="3"/>
  <c r="N66" i="3" l="1"/>
  <c r="P65" i="3"/>
  <c r="O65" i="3"/>
  <c r="P64" i="3"/>
  <c r="O66" i="3" l="1"/>
  <c r="N67" i="3"/>
  <c r="P66" i="3"/>
  <c r="N68" i="3" l="1"/>
  <c r="P67" i="3"/>
  <c r="O67" i="3"/>
  <c r="N69" i="3" l="1"/>
  <c r="P68" i="3"/>
  <c r="O68" i="3"/>
  <c r="O69" i="3" l="1"/>
  <c r="N70" i="3"/>
  <c r="O70" i="3" l="1"/>
  <c r="N71" i="3"/>
  <c r="P69" i="3"/>
  <c r="N72" i="3" l="1"/>
  <c r="P71" i="3"/>
  <c r="O71" i="3"/>
  <c r="P70" i="3"/>
  <c r="O72" i="3" l="1"/>
  <c r="N73" i="3"/>
  <c r="N74" i="3" l="1"/>
  <c r="P73" i="3"/>
  <c r="O73" i="3"/>
  <c r="P72" i="3"/>
  <c r="N75" i="3" l="1"/>
  <c r="P74" i="3"/>
  <c r="O74" i="3"/>
  <c r="O75" i="3" l="1"/>
  <c r="N76" i="3"/>
  <c r="P75" i="3"/>
  <c r="O76" i="3" l="1"/>
  <c r="N77" i="3"/>
  <c r="N78" i="3" l="1"/>
  <c r="O77" i="3"/>
  <c r="P77" i="3"/>
  <c r="P76" i="3"/>
  <c r="O78" i="3" l="1"/>
  <c r="N79" i="3"/>
  <c r="N80" i="3" l="1"/>
  <c r="P79" i="3"/>
  <c r="O79" i="3"/>
  <c r="P78" i="3"/>
  <c r="N81" i="3" l="1"/>
  <c r="O80" i="3"/>
  <c r="O81" i="3" l="1"/>
  <c r="N82" i="3"/>
  <c r="P80" i="3"/>
  <c r="O82" i="3" l="1"/>
  <c r="N83" i="3"/>
  <c r="P81" i="3"/>
  <c r="N84" i="3" l="1"/>
  <c r="P83" i="3"/>
  <c r="O83" i="3"/>
  <c r="P82" i="3"/>
  <c r="O84" i="3" l="1"/>
  <c r="N85" i="3"/>
  <c r="P84" i="3"/>
  <c r="N86" i="3" l="1"/>
  <c r="P85" i="3"/>
  <c r="O85" i="3"/>
  <c r="N87" i="3" l="1"/>
  <c r="P86" i="3"/>
  <c r="O86" i="3"/>
  <c r="O87" i="3" l="1"/>
  <c r="N88" i="3"/>
  <c r="O88" i="3" l="1"/>
  <c r="N89" i="3"/>
  <c r="P87" i="3"/>
  <c r="N90" i="3" l="1"/>
  <c r="P89" i="3"/>
  <c r="O89" i="3"/>
  <c r="P88" i="3"/>
  <c r="O90" i="3" l="1"/>
  <c r="N91" i="3"/>
  <c r="P90" i="3"/>
  <c r="N92" i="3" l="1"/>
  <c r="P91" i="3"/>
  <c r="O91" i="3"/>
  <c r="N93" i="3" l="1"/>
  <c r="P92" i="3"/>
  <c r="O92" i="3"/>
  <c r="O93" i="3" l="1"/>
  <c r="N94" i="3"/>
  <c r="O94" i="3" l="1"/>
  <c r="N95" i="3"/>
  <c r="P93" i="3"/>
  <c r="N96" i="3" l="1"/>
  <c r="P95" i="3"/>
  <c r="O95" i="3"/>
  <c r="P94" i="3"/>
  <c r="O96" i="3" l="1"/>
  <c r="N97" i="3"/>
  <c r="N98" i="3" l="1"/>
  <c r="P97" i="3"/>
  <c r="O97" i="3"/>
  <c r="P96" i="3"/>
  <c r="N99" i="3" l="1"/>
  <c r="O98" i="3"/>
  <c r="O99" i="3" l="1"/>
  <c r="N100" i="3"/>
  <c r="P98" i="3"/>
  <c r="O100" i="3" l="1"/>
  <c r="N101" i="3"/>
  <c r="P99" i="3"/>
  <c r="P100" i="3" l="1"/>
  <c r="N102" i="3"/>
  <c r="P101" i="3"/>
  <c r="O101" i="3"/>
  <c r="O102" i="3" l="1"/>
  <c r="N103" i="3"/>
  <c r="P102" i="3"/>
  <c r="N104" i="3" l="1"/>
  <c r="P103" i="3"/>
  <c r="O103" i="3"/>
  <c r="N105" i="3" l="1"/>
  <c r="P104" i="3"/>
  <c r="O104" i="3"/>
  <c r="O105" i="3" l="1"/>
  <c r="N106" i="3"/>
  <c r="P105" i="3"/>
  <c r="O106" i="3" l="1"/>
  <c r="N107" i="3"/>
  <c r="P106" i="3" l="1"/>
  <c r="O107" i="3"/>
</calcChain>
</file>

<file path=xl/sharedStrings.xml><?xml version="1.0" encoding="utf-8"?>
<sst xmlns="http://schemas.openxmlformats.org/spreadsheetml/2006/main" count="60" uniqueCount="28">
  <si>
    <t>Delay (s)</t>
  </si>
  <si>
    <t>Delay ms</t>
  </si>
  <si>
    <t>Samples</t>
  </si>
  <si>
    <t>Min</t>
  </si>
  <si>
    <t>Max</t>
  </si>
  <si>
    <t>Delay (ms)</t>
  </si>
  <si>
    <t>FFR&lt;700 ms</t>
  </si>
  <si>
    <t>FFR&lt;1300 ms</t>
  </si>
  <si>
    <t>FCR-D 100% &lt;7500 ms</t>
  </si>
  <si>
    <t>Start</t>
  </si>
  <si>
    <t>Average</t>
  </si>
  <si>
    <t>Spacing</t>
  </si>
  <si>
    <t>St Dev</t>
  </si>
  <si>
    <t>St Dev*2</t>
  </si>
  <si>
    <t>min</t>
  </si>
  <si>
    <t>max</t>
  </si>
  <si>
    <t>Hand picked times to AC-&gt;BATT</t>
  </si>
  <si>
    <t>repeat8</t>
  </si>
  <si>
    <t>repeat9</t>
  </si>
  <si>
    <t>repeat10</t>
  </si>
  <si>
    <t>repeat11</t>
  </si>
  <si>
    <t>repeat12</t>
  </si>
  <si>
    <t>repeat13</t>
  </si>
  <si>
    <t>repeat14</t>
  </si>
  <si>
    <t>repeat15</t>
  </si>
  <si>
    <t>repeat16</t>
  </si>
  <si>
    <t>repeat17</t>
  </si>
  <si>
    <t>OUTLIER over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</si>
</sst>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"/>
    <numFmt numFmtId="167" formatCode="0.0\ %"/>
  </numFmts>
  <fonts count="20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8"/>
      <color theme="4"/>
      <name val="Arial"/>
      <family val="2"/>
      <scheme val="major"/>
    </font>
    <font>
      <b/>
      <sz val="15"/>
      <name val="Arial"/>
      <family val="2"/>
      <scheme val="minor"/>
    </font>
    <font>
      <b/>
      <sz val="13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theme="4"/>
      </top>
      <bottom style="medium">
        <color theme="4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Alignment="0" applyProtection="0"/>
    <xf numFmtId="0" fontId="15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7" fillId="0" borderId="6" applyNumberFormat="0" applyFill="0" applyAlignment="0" applyProtection="0"/>
    <xf numFmtId="0" fontId="12" fillId="0" borderId="0" applyFill="0" applyAlignment="0" applyProtection="0"/>
    <xf numFmtId="9" fontId="18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9" fillId="0" borderId="0" xfId="0" applyFont="1"/>
    <xf numFmtId="3" fontId="19" fillId="0" borderId="0" xfId="0" applyNumberFormat="1" applyFont="1"/>
    <xf numFmtId="9" fontId="0" fillId="0" borderId="0" xfId="19" applyFont="1"/>
    <xf numFmtId="4" fontId="0" fillId="0" borderId="0" xfId="0" applyNumberFormat="1"/>
    <xf numFmtId="4" fontId="19" fillId="0" borderId="0" xfId="0" applyNumberFormat="1" applyFont="1"/>
    <xf numFmtId="167" fontId="0" fillId="0" borderId="0" xfId="19" applyNumberFormat="1" applyFont="1"/>
  </cellXfs>
  <cellStyles count="20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Heading 1" xfId="13" builtinId="16" customBuiltin="1"/>
    <cellStyle name="Heading 1 2" xfId="18" xr:uid="{AD9C20C7-49B0-4AE8-8F33-20A2F8A3851C}"/>
    <cellStyle name="Heading 2" xfId="14" builtinId="17" customBuiltin="1"/>
    <cellStyle name="Heading 3" xfId="15" builtinId="18" customBuiltin="1"/>
    <cellStyle name="Heading 4" xfId="16" builtinId="19" customBuilti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Percent" xfId="19" builtinId="5"/>
    <cellStyle name="Title" xfId="12" builtinId="15" customBuiltin="1"/>
    <cellStyle name="Total" xfId="17" builtinId="25" customBuiltin="1"/>
    <cellStyle name="Warning Text" xfId="9" builtinId="11" hidden="1"/>
  </cellStyles>
  <dxfs count="10">
    <dxf>
      <numFmt numFmtId="3" formatCode="#,##0"/>
    </dxf>
    <dxf>
      <numFmt numFmtId="3" formatCode="#,##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</dxf>
    <dxf>
      <numFmt numFmtId="164" formatCode="#,##0.000"/>
    </dxf>
    <dxf>
      <numFmt numFmtId="3" formatCode="#,##0"/>
    </dxf>
    <dxf>
      <numFmt numFmtId="164" formatCode="#,##0.000"/>
    </dxf>
    <dxf>
      <numFmt numFmtId="164" formatCode="#,##0.000"/>
    </dxf>
  </dxfs>
  <tableStyles count="0" defaultTableStyle="TableStyleMedium2" defaultPivotStyle="PivotStyleLight16"/>
  <colors>
    <mruColors>
      <color rgb="FFCCFF33"/>
      <color rgb="FF99FF66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05637114614111E-2"/>
          <c:y val="2.6598965286922297E-2"/>
          <c:w val="0.89325454161058926"/>
          <c:h val="0.76557237976972103"/>
        </c:manualLayout>
      </c:layout>
      <c:areaChart>
        <c:grouping val="standard"/>
        <c:varyColors val="0"/>
        <c:ser>
          <c:idx val="5"/>
          <c:order val="3"/>
          <c:tx>
            <c:strRef>
              <c:f>'Old HW &amp; Old SW'!$V$2</c:f>
              <c:strCache>
                <c:ptCount val="1"/>
                <c:pt idx="0">
                  <c:v>FCR-D 100% &lt;7500 ms</c:v>
                </c:pt>
              </c:strCache>
            </c:strRef>
          </c:tx>
          <c:spPr>
            <a:gradFill flip="none" rotWithShape="1">
              <a:gsLst>
                <a:gs pos="0">
                  <a:srgbClr val="CCFF33">
                    <a:alpha val="49804"/>
                  </a:srgbClr>
                </a:gs>
                <a:gs pos="100000">
                  <a:schemeClr val="bg1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SW'!$V$3:$V$107</c:f>
              <c:numCache>
                <c:formatCode>0.0</c:formatCode>
                <c:ptCount val="105"/>
                <c:pt idx="0">
                  <c:v>0</c:v>
                </c:pt>
                <c:pt idx="1">
                  <c:v>1.3513513513513513</c:v>
                </c:pt>
                <c:pt idx="2">
                  <c:v>2.7027027027027026</c:v>
                </c:pt>
                <c:pt idx="3">
                  <c:v>4.0540540540540544</c:v>
                </c:pt>
                <c:pt idx="4">
                  <c:v>5.4054054054054053</c:v>
                </c:pt>
                <c:pt idx="5">
                  <c:v>6.7567567567567561</c:v>
                </c:pt>
                <c:pt idx="6">
                  <c:v>8.108108108108107</c:v>
                </c:pt>
                <c:pt idx="7">
                  <c:v>9.4594594594594579</c:v>
                </c:pt>
                <c:pt idx="8">
                  <c:v>10.810810810810809</c:v>
                </c:pt>
                <c:pt idx="9">
                  <c:v>12.16216216216216</c:v>
                </c:pt>
                <c:pt idx="10">
                  <c:v>13.51351351351351</c:v>
                </c:pt>
                <c:pt idx="11">
                  <c:v>14.864864864864861</c:v>
                </c:pt>
                <c:pt idx="12">
                  <c:v>16.216216216216214</c:v>
                </c:pt>
                <c:pt idx="13">
                  <c:v>17.567567567567565</c:v>
                </c:pt>
                <c:pt idx="14">
                  <c:v>18.918918918918916</c:v>
                </c:pt>
                <c:pt idx="15">
                  <c:v>20.270270270270267</c:v>
                </c:pt>
                <c:pt idx="16">
                  <c:v>21.621621621621617</c:v>
                </c:pt>
                <c:pt idx="17">
                  <c:v>22.972972972972968</c:v>
                </c:pt>
                <c:pt idx="18">
                  <c:v>24.324324324324319</c:v>
                </c:pt>
                <c:pt idx="19">
                  <c:v>25.67567567567567</c:v>
                </c:pt>
                <c:pt idx="20">
                  <c:v>27.027027027027021</c:v>
                </c:pt>
                <c:pt idx="21">
                  <c:v>28.378378378378372</c:v>
                </c:pt>
                <c:pt idx="22">
                  <c:v>29.729729729729723</c:v>
                </c:pt>
                <c:pt idx="23">
                  <c:v>31.081081081081074</c:v>
                </c:pt>
                <c:pt idx="24">
                  <c:v>32.432432432432428</c:v>
                </c:pt>
                <c:pt idx="25">
                  <c:v>33.783783783783782</c:v>
                </c:pt>
                <c:pt idx="26">
                  <c:v>35.135135135135137</c:v>
                </c:pt>
                <c:pt idx="27">
                  <c:v>36.486486486486491</c:v>
                </c:pt>
                <c:pt idx="28">
                  <c:v>37.837837837837846</c:v>
                </c:pt>
                <c:pt idx="29">
                  <c:v>39.1891891891892</c:v>
                </c:pt>
                <c:pt idx="30">
                  <c:v>40.540540540540555</c:v>
                </c:pt>
                <c:pt idx="31">
                  <c:v>41.891891891891909</c:v>
                </c:pt>
                <c:pt idx="32">
                  <c:v>43.243243243243263</c:v>
                </c:pt>
                <c:pt idx="33">
                  <c:v>44.594594594594618</c:v>
                </c:pt>
                <c:pt idx="34">
                  <c:v>45.945945945945972</c:v>
                </c:pt>
                <c:pt idx="35">
                  <c:v>47.297297297297327</c:v>
                </c:pt>
                <c:pt idx="36">
                  <c:v>48.648648648648681</c:v>
                </c:pt>
                <c:pt idx="37">
                  <c:v>50.000000000000036</c:v>
                </c:pt>
                <c:pt idx="38">
                  <c:v>51.35135135135139</c:v>
                </c:pt>
                <c:pt idx="39">
                  <c:v>52.702702702702744</c:v>
                </c:pt>
                <c:pt idx="40">
                  <c:v>54.054054054054099</c:v>
                </c:pt>
                <c:pt idx="41">
                  <c:v>55.405405405405453</c:v>
                </c:pt>
                <c:pt idx="42">
                  <c:v>56.756756756756808</c:v>
                </c:pt>
                <c:pt idx="43">
                  <c:v>58.108108108108162</c:v>
                </c:pt>
                <c:pt idx="44">
                  <c:v>59.459459459459516</c:v>
                </c:pt>
                <c:pt idx="45">
                  <c:v>60.810810810810871</c:v>
                </c:pt>
                <c:pt idx="46">
                  <c:v>62.162162162162225</c:v>
                </c:pt>
                <c:pt idx="47">
                  <c:v>63.51351351351358</c:v>
                </c:pt>
                <c:pt idx="48">
                  <c:v>64.864864864864927</c:v>
                </c:pt>
                <c:pt idx="49">
                  <c:v>66.216216216216282</c:v>
                </c:pt>
                <c:pt idx="50">
                  <c:v>67.567567567567636</c:v>
                </c:pt>
                <c:pt idx="51">
                  <c:v>68.91891891891899</c:v>
                </c:pt>
                <c:pt idx="52">
                  <c:v>70.270270270270345</c:v>
                </c:pt>
                <c:pt idx="53">
                  <c:v>71.621621621621699</c:v>
                </c:pt>
                <c:pt idx="54">
                  <c:v>72.972972972973054</c:v>
                </c:pt>
                <c:pt idx="55">
                  <c:v>74.324324324324408</c:v>
                </c:pt>
                <c:pt idx="56">
                  <c:v>75.675675675675762</c:v>
                </c:pt>
                <c:pt idx="57">
                  <c:v>77.027027027027117</c:v>
                </c:pt>
                <c:pt idx="58">
                  <c:v>78.378378378378471</c:v>
                </c:pt>
                <c:pt idx="59">
                  <c:v>79.729729729729826</c:v>
                </c:pt>
                <c:pt idx="60">
                  <c:v>81.08108108108118</c:v>
                </c:pt>
                <c:pt idx="61">
                  <c:v>82.432432432432535</c:v>
                </c:pt>
                <c:pt idx="62">
                  <c:v>83.783783783783889</c:v>
                </c:pt>
                <c:pt idx="63">
                  <c:v>85.135135135135243</c:v>
                </c:pt>
                <c:pt idx="64">
                  <c:v>86.486486486486598</c:v>
                </c:pt>
                <c:pt idx="65">
                  <c:v>87.837837837837952</c:v>
                </c:pt>
                <c:pt idx="66">
                  <c:v>89.189189189189307</c:v>
                </c:pt>
                <c:pt idx="67">
                  <c:v>90.540540540540661</c:v>
                </c:pt>
                <c:pt idx="68">
                  <c:v>91.891891891892016</c:v>
                </c:pt>
                <c:pt idx="69">
                  <c:v>93.24324324324337</c:v>
                </c:pt>
                <c:pt idx="70">
                  <c:v>94.594594594594724</c:v>
                </c:pt>
                <c:pt idx="71">
                  <c:v>95.945945945946079</c:v>
                </c:pt>
                <c:pt idx="72">
                  <c:v>97.297297297297433</c:v>
                </c:pt>
                <c:pt idx="73">
                  <c:v>98.648648648648788</c:v>
                </c:pt>
                <c:pt idx="7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B-4411-8903-1FD6A24F13B4}"/>
            </c:ext>
          </c:extLst>
        </c:ser>
        <c:ser>
          <c:idx val="2"/>
          <c:order val="4"/>
          <c:tx>
            <c:strRef>
              <c:f>'Old HW &amp; Old SW'!$U$2</c:f>
              <c:strCache>
                <c:ptCount val="1"/>
                <c:pt idx="0">
                  <c:v>FFR&lt;1300 ms</c:v>
                </c:pt>
              </c:strCache>
            </c:strRef>
          </c:tx>
          <c:spPr>
            <a:gradFill flip="none" rotWithShape="1">
              <a:gsLst>
                <a:gs pos="0">
                  <a:srgbClr val="92D050"/>
                </a:gs>
                <a:gs pos="100000">
                  <a:schemeClr val="bg1">
                    <a:alpha val="5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SW'!$U$3:$U$115</c:f>
              <c:numCache>
                <c:formatCode>General</c:formatCode>
                <c:ptCount val="1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B-4411-8903-1FD6A24F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0848"/>
        <c:axId val="299056560"/>
      </c:areaChart>
      <c:areaChart>
        <c:grouping val="standard"/>
        <c:varyColors val="0"/>
        <c:ser>
          <c:idx val="1"/>
          <c:order val="5"/>
          <c:tx>
            <c:strRef>
              <c:f>'Old HW &amp; Old SW'!$T$2</c:f>
              <c:strCache>
                <c:ptCount val="1"/>
                <c:pt idx="0">
                  <c:v>FFR&lt;700 ms</c:v>
                </c:pt>
              </c:strCache>
            </c:strRef>
          </c:tx>
          <c:spPr>
            <a:gradFill flip="none" rotWithShape="1">
              <a:gsLst>
                <a:gs pos="0">
                  <a:srgbClr val="00B050">
                    <a:shade val="30000"/>
                    <a:satMod val="115000"/>
                  </a:srgbClr>
                </a:gs>
                <a:gs pos="100000">
                  <a:schemeClr val="bg1">
                    <a:alpha val="5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SW'!$T$3:$T$115</c:f>
              <c:numCache>
                <c:formatCode>General</c:formatCode>
                <c:ptCount val="1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B-4411-8903-1FD6A24F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9936"/>
        <c:axId val="31378976"/>
      </c:areaChart>
      <c:barChart>
        <c:barDir val="col"/>
        <c:grouping val="clustered"/>
        <c:varyColors val="0"/>
        <c:ser>
          <c:idx val="0"/>
          <c:order val="0"/>
          <c:tx>
            <c:strRef>
              <c:f>'Old HW &amp; Old SW'!$Q$2</c:f>
              <c:strCache>
                <c:ptCount val="1"/>
                <c:pt idx="0">
                  <c:v>Old HW &amp; SW v1 N=217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SW'!$Q$3:$Q$115</c:f>
              <c:numCache>
                <c:formatCode>General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7</c:v>
                </c:pt>
                <c:pt idx="44">
                  <c:v>0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4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5</c:v>
                </c:pt>
                <c:pt idx="59">
                  <c:v>1</c:v>
                </c:pt>
                <c:pt idx="60">
                  <c:v>2</c:v>
                </c:pt>
                <c:pt idx="61">
                  <c:v>0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6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1</c:v>
                </c:pt>
                <c:pt idx="85">
                  <c:v>3</c:v>
                </c:pt>
                <c:pt idx="86">
                  <c:v>0</c:v>
                </c:pt>
                <c:pt idx="87">
                  <c:v>3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B-4411-8903-1FD6A24F13B4}"/>
            </c:ext>
          </c:extLst>
        </c:ser>
        <c:ser>
          <c:idx val="3"/>
          <c:order val="1"/>
          <c:tx>
            <c:strRef>
              <c:f>'Old HW &amp; Old SW'!$R$2</c:f>
              <c:strCache>
                <c:ptCount val="1"/>
                <c:pt idx="0">
                  <c:v>New HW &amp; SW v1 N=121</c:v>
                </c:pt>
              </c:strCache>
            </c:strRef>
          </c:tx>
          <c:spPr>
            <a:solidFill>
              <a:srgbClr val="A162D0"/>
            </a:solidFill>
            <a:ln>
              <a:noFill/>
            </a:ln>
            <a:effectLst/>
          </c:spPr>
          <c:invertIfNegative val="0"/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SW'!$R$3:$R$115</c:f>
              <c:numCache>
                <c:formatCode>General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20</c:v>
                </c:pt>
                <c:pt idx="5">
                  <c:v>36</c:v>
                </c:pt>
                <c:pt idx="6">
                  <c:v>11</c:v>
                </c:pt>
                <c:pt idx="7">
                  <c:v>11</c:v>
                </c:pt>
                <c:pt idx="8">
                  <c:v>32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B-4411-8903-1FD6A24F13B4}"/>
            </c:ext>
          </c:extLst>
        </c:ser>
        <c:ser>
          <c:idx val="4"/>
          <c:order val="2"/>
          <c:tx>
            <c:strRef>
              <c:f>'Old HW &amp; Old SW'!$S$2</c:f>
              <c:strCache>
                <c:ptCount val="1"/>
                <c:pt idx="0">
                  <c:v>New HW &amp; SW v2 N=147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'Old HW &amp; Old SW'!$P$3:$P$115</c:f>
              <c:strCache>
                <c:ptCount val="113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  <c:pt idx="15">
                  <c:v>1500..1600</c:v>
                </c:pt>
                <c:pt idx="16">
                  <c:v>1600..1700</c:v>
                </c:pt>
                <c:pt idx="17">
                  <c:v>1700..1800</c:v>
                </c:pt>
                <c:pt idx="18">
                  <c:v>1800..1900</c:v>
                </c:pt>
                <c:pt idx="19">
                  <c:v>1900..2000</c:v>
                </c:pt>
                <c:pt idx="20">
                  <c:v>2000..2100</c:v>
                </c:pt>
                <c:pt idx="21">
                  <c:v>2100..2200</c:v>
                </c:pt>
                <c:pt idx="22">
                  <c:v>2200..2300</c:v>
                </c:pt>
                <c:pt idx="23">
                  <c:v>2300..2400</c:v>
                </c:pt>
                <c:pt idx="24">
                  <c:v>2400..2500</c:v>
                </c:pt>
                <c:pt idx="25">
                  <c:v>2500..2600</c:v>
                </c:pt>
                <c:pt idx="26">
                  <c:v>2600..2700</c:v>
                </c:pt>
                <c:pt idx="27">
                  <c:v>2700..2800</c:v>
                </c:pt>
                <c:pt idx="28">
                  <c:v>2800..2900</c:v>
                </c:pt>
                <c:pt idx="29">
                  <c:v>2900..3000</c:v>
                </c:pt>
                <c:pt idx="30">
                  <c:v>3000..3100</c:v>
                </c:pt>
                <c:pt idx="31">
                  <c:v>3100..3200</c:v>
                </c:pt>
                <c:pt idx="32">
                  <c:v>3200..3300</c:v>
                </c:pt>
                <c:pt idx="33">
                  <c:v>3300..3400</c:v>
                </c:pt>
                <c:pt idx="34">
                  <c:v>3400..3500</c:v>
                </c:pt>
                <c:pt idx="35">
                  <c:v>3500..3600</c:v>
                </c:pt>
                <c:pt idx="36">
                  <c:v>3600..3700</c:v>
                </c:pt>
                <c:pt idx="37">
                  <c:v>3700..3800</c:v>
                </c:pt>
                <c:pt idx="38">
                  <c:v>3800..3900</c:v>
                </c:pt>
                <c:pt idx="39">
                  <c:v>3900..4000</c:v>
                </c:pt>
                <c:pt idx="40">
                  <c:v>4000..4100</c:v>
                </c:pt>
                <c:pt idx="41">
                  <c:v>4100..4200</c:v>
                </c:pt>
                <c:pt idx="42">
                  <c:v>4200..4300</c:v>
                </c:pt>
                <c:pt idx="43">
                  <c:v>4300..4400</c:v>
                </c:pt>
                <c:pt idx="44">
                  <c:v>4400..4500</c:v>
                </c:pt>
                <c:pt idx="45">
                  <c:v>4500..4600</c:v>
                </c:pt>
                <c:pt idx="46">
                  <c:v>4600..4700</c:v>
                </c:pt>
                <c:pt idx="47">
                  <c:v>4700..4800</c:v>
                </c:pt>
                <c:pt idx="48">
                  <c:v>4800..4900</c:v>
                </c:pt>
                <c:pt idx="49">
                  <c:v>4900..5000</c:v>
                </c:pt>
                <c:pt idx="50">
                  <c:v>5000..5100</c:v>
                </c:pt>
                <c:pt idx="51">
                  <c:v>5100..5200</c:v>
                </c:pt>
                <c:pt idx="52">
                  <c:v>5200..5300</c:v>
                </c:pt>
                <c:pt idx="53">
                  <c:v>5300..5400</c:v>
                </c:pt>
                <c:pt idx="54">
                  <c:v>5400..5500</c:v>
                </c:pt>
                <c:pt idx="55">
                  <c:v>5500..5600</c:v>
                </c:pt>
                <c:pt idx="56">
                  <c:v>5600..5700</c:v>
                </c:pt>
                <c:pt idx="57">
                  <c:v>5700..5800</c:v>
                </c:pt>
                <c:pt idx="58">
                  <c:v>5800..5900</c:v>
                </c:pt>
                <c:pt idx="59">
                  <c:v>5900..6000</c:v>
                </c:pt>
                <c:pt idx="60">
                  <c:v>6000..6100</c:v>
                </c:pt>
                <c:pt idx="61">
                  <c:v>6100..6200</c:v>
                </c:pt>
                <c:pt idx="62">
                  <c:v>6200..6300</c:v>
                </c:pt>
                <c:pt idx="63">
                  <c:v>6300..6400</c:v>
                </c:pt>
                <c:pt idx="64">
                  <c:v>6400..6500</c:v>
                </c:pt>
                <c:pt idx="65">
                  <c:v>6500..6600</c:v>
                </c:pt>
                <c:pt idx="66">
                  <c:v>6600..6700</c:v>
                </c:pt>
                <c:pt idx="67">
                  <c:v>6700..6800</c:v>
                </c:pt>
                <c:pt idx="68">
                  <c:v>6800..6900</c:v>
                </c:pt>
                <c:pt idx="69">
                  <c:v>6900..7000</c:v>
                </c:pt>
                <c:pt idx="70">
                  <c:v>7000..7100</c:v>
                </c:pt>
                <c:pt idx="71">
                  <c:v>7100..7200</c:v>
                </c:pt>
                <c:pt idx="72">
                  <c:v>7200..7300</c:v>
                </c:pt>
                <c:pt idx="73">
                  <c:v>7300..7400</c:v>
                </c:pt>
                <c:pt idx="74">
                  <c:v>7400..7500</c:v>
                </c:pt>
                <c:pt idx="75">
                  <c:v>7500..7600</c:v>
                </c:pt>
                <c:pt idx="76">
                  <c:v>7600..7700</c:v>
                </c:pt>
                <c:pt idx="77">
                  <c:v>7700..7800</c:v>
                </c:pt>
                <c:pt idx="78">
                  <c:v>7800..7900</c:v>
                </c:pt>
                <c:pt idx="79">
                  <c:v>7900..8000</c:v>
                </c:pt>
                <c:pt idx="80">
                  <c:v>8000..8100</c:v>
                </c:pt>
                <c:pt idx="81">
                  <c:v>8100..8200</c:v>
                </c:pt>
                <c:pt idx="82">
                  <c:v>8200..8300</c:v>
                </c:pt>
                <c:pt idx="83">
                  <c:v>8300..8400</c:v>
                </c:pt>
                <c:pt idx="84">
                  <c:v>8400..8500</c:v>
                </c:pt>
                <c:pt idx="85">
                  <c:v>8500..8600</c:v>
                </c:pt>
                <c:pt idx="86">
                  <c:v>8600..8700</c:v>
                </c:pt>
                <c:pt idx="87">
                  <c:v>8700..8800</c:v>
                </c:pt>
                <c:pt idx="88">
                  <c:v>8800..8900</c:v>
                </c:pt>
                <c:pt idx="89">
                  <c:v>8900..9000</c:v>
                </c:pt>
                <c:pt idx="90">
                  <c:v>9000..9100</c:v>
                </c:pt>
                <c:pt idx="91">
                  <c:v>9100..9200</c:v>
                </c:pt>
                <c:pt idx="92">
                  <c:v>9200..9300</c:v>
                </c:pt>
                <c:pt idx="93">
                  <c:v>9300..9400</c:v>
                </c:pt>
                <c:pt idx="94">
                  <c:v>9400..9500</c:v>
                </c:pt>
                <c:pt idx="95">
                  <c:v>9500..9600</c:v>
                </c:pt>
                <c:pt idx="96">
                  <c:v>9600..9700</c:v>
                </c:pt>
                <c:pt idx="97">
                  <c:v>9700..9800</c:v>
                </c:pt>
                <c:pt idx="98">
                  <c:v>9800..9900</c:v>
                </c:pt>
                <c:pt idx="99">
                  <c:v>9900..10000</c:v>
                </c:pt>
                <c:pt idx="100">
                  <c:v>10000..10100</c:v>
                </c:pt>
                <c:pt idx="101">
                  <c:v>10100..10200</c:v>
                </c:pt>
                <c:pt idx="102">
                  <c:v>10200..10300</c:v>
                </c:pt>
                <c:pt idx="103">
                  <c:v>10300..10400</c:v>
                </c:pt>
                <c:pt idx="104">
                  <c:v>10400..10500</c:v>
                </c:pt>
                <c:pt idx="105">
                  <c:v>10500..10600</c:v>
                </c:pt>
                <c:pt idx="106">
                  <c:v>10600..10700</c:v>
                </c:pt>
                <c:pt idx="107">
                  <c:v>10700..10800</c:v>
                </c:pt>
                <c:pt idx="108">
                  <c:v>10800..10900</c:v>
                </c:pt>
                <c:pt idx="109">
                  <c:v>10900..11000</c:v>
                </c:pt>
                <c:pt idx="110">
                  <c:v>11000..11100</c:v>
                </c:pt>
                <c:pt idx="111">
                  <c:v>11100..11200</c:v>
                </c:pt>
                <c:pt idx="112">
                  <c:v>11200..11300</c:v>
                </c:pt>
              </c:strCache>
            </c:strRef>
          </c:cat>
          <c:val>
            <c:numRef>
              <c:f>'Old HW &amp; Old SW'!$S$3:$S$115</c:f>
              <c:numCache>
                <c:formatCode>General</c:formatCode>
                <c:ptCount val="113"/>
                <c:pt idx="0">
                  <c:v>0</c:v>
                </c:pt>
                <c:pt idx="1">
                  <c:v>24</c:v>
                </c:pt>
                <c:pt idx="2">
                  <c:v>70</c:v>
                </c:pt>
                <c:pt idx="3">
                  <c:v>48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B-4411-8903-1FD6A24F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0848"/>
        <c:axId val="299056560"/>
      </c:barChart>
      <c:catAx>
        <c:axId val="1376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56560"/>
        <c:crosses val="autoZero"/>
        <c:auto val="1"/>
        <c:lblAlgn val="ctr"/>
        <c:lblOffset val="100"/>
        <c:noMultiLvlLbl val="0"/>
      </c:catAx>
      <c:valAx>
        <c:axId val="29905656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848"/>
        <c:crosses val="autoZero"/>
        <c:crossBetween val="between"/>
        <c:majorUnit val="10"/>
      </c:valAx>
      <c:valAx>
        <c:axId val="31378976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9936"/>
        <c:crosses val="max"/>
        <c:crossBetween val="between"/>
        <c:majorUnit val="0.1"/>
      </c:valAx>
      <c:catAx>
        <c:axId val="31379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78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'Old SW Spring 2024'!$S$2</c:f>
              <c:strCache>
                <c:ptCount val="1"/>
                <c:pt idx="0">
                  <c:v>FFR&lt;1300 ms</c:v>
                </c:pt>
              </c:strCache>
            </c:strRef>
          </c:tx>
          <c:spPr>
            <a:gradFill flip="none" rotWithShape="1">
              <a:gsLst>
                <a:gs pos="0">
                  <a:srgbClr val="92D050">
                    <a:tint val="66000"/>
                    <a:satMod val="160000"/>
                  </a:srgbClr>
                </a:gs>
                <a:gs pos="73000">
                  <a:srgbClr val="92D05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'Old SW Spring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'Old SW Spring 2024'!$S$3:$S$17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E-4D87-A6E1-D3436D53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62975"/>
        <c:axId val="1391464895"/>
      </c:areaChart>
      <c:areaChart>
        <c:grouping val="standard"/>
        <c:varyColors val="0"/>
        <c:ser>
          <c:idx val="1"/>
          <c:order val="1"/>
          <c:tx>
            <c:strRef>
              <c:f>'Old SW Spring 2024'!$R$2</c:f>
              <c:strCache>
                <c:ptCount val="1"/>
                <c:pt idx="0">
                  <c:v>FFR&lt;700 ms</c:v>
                </c:pt>
              </c:strCache>
            </c:strRef>
          </c:tx>
          <c:spPr>
            <a:gradFill flip="none" rotWithShape="1">
              <a:gsLst>
                <a:gs pos="21000">
                  <a:srgbClr val="00B050">
                    <a:tint val="66000"/>
                    <a:satMod val="160000"/>
                  </a:srgbClr>
                </a:gs>
                <a:gs pos="61000">
                  <a:srgbClr val="00B05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'Old SW Spring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'Old SW Spring 2024'!$R$3:$R$17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E-4D87-A6E1-D3436D53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13312"/>
        <c:axId val="325500320"/>
      </c:areaChart>
      <c:barChart>
        <c:barDir val="col"/>
        <c:grouping val="clustered"/>
        <c:varyColors val="0"/>
        <c:ser>
          <c:idx val="0"/>
          <c:order val="0"/>
          <c:tx>
            <c:strRef>
              <c:f>'Old SW Spring 2024'!$Q$2</c:f>
              <c:strCache>
                <c:ptCount val="1"/>
                <c:pt idx="0">
                  <c:v>Delay [ms] N=121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SW Spring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'Old SW Spring 2024'!$Q$3:$Q$17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20</c:v>
                </c:pt>
                <c:pt idx="5">
                  <c:v>36</c:v>
                </c:pt>
                <c:pt idx="6">
                  <c:v>11</c:v>
                </c:pt>
                <c:pt idx="7">
                  <c:v>11</c:v>
                </c:pt>
                <c:pt idx="8">
                  <c:v>32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E-4D87-A6E1-D3436D53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462975"/>
        <c:axId val="1391464895"/>
      </c:barChart>
      <c:catAx>
        <c:axId val="139146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64895"/>
        <c:crosses val="autoZero"/>
        <c:auto val="1"/>
        <c:lblAlgn val="ctr"/>
        <c:lblOffset val="100"/>
        <c:noMultiLvlLbl val="0"/>
      </c:catAx>
      <c:valAx>
        <c:axId val="1391464895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62975"/>
        <c:crosses val="autoZero"/>
        <c:crossBetween val="between"/>
      </c:valAx>
      <c:valAx>
        <c:axId val="325500320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13312"/>
        <c:crosses val="max"/>
        <c:crossBetween val="between"/>
        <c:majorUnit val="1"/>
      </c:valAx>
      <c:catAx>
        <c:axId val="448313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5500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'New SW Sep 2024'!$S$2</c:f>
              <c:strCache>
                <c:ptCount val="1"/>
                <c:pt idx="0">
                  <c:v>FFR&lt;1300 ms</c:v>
                </c:pt>
              </c:strCache>
            </c:strRef>
          </c:tx>
          <c:spPr>
            <a:gradFill flip="none" rotWithShape="1">
              <a:gsLst>
                <a:gs pos="0">
                  <a:srgbClr val="92D050"/>
                </a:gs>
                <a:gs pos="78000">
                  <a:srgbClr val="00B05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'New SW Sep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'New SW Sep 2024'!$S$3:$S$17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9-4B78-9ECE-FE1069F5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1952"/>
        <c:axId val="38332432"/>
      </c:areaChart>
      <c:areaChart>
        <c:grouping val="standard"/>
        <c:varyColors val="0"/>
        <c:ser>
          <c:idx val="1"/>
          <c:order val="1"/>
          <c:tx>
            <c:strRef>
              <c:f>'New SW Sep 2024'!$R$2</c:f>
              <c:strCache>
                <c:ptCount val="1"/>
                <c:pt idx="0">
                  <c:v>FFR&lt;700 ms</c:v>
                </c:pt>
              </c:strCache>
            </c:strRef>
          </c:tx>
          <c:spPr>
            <a:gradFill flip="none" rotWithShape="1">
              <a:gsLst>
                <a:gs pos="0">
                  <a:srgbClr val="00B050"/>
                </a:gs>
                <a:gs pos="41000">
                  <a:srgbClr val="00B050">
                    <a:tint val="66000"/>
                    <a:satMod val="160000"/>
                  </a:srgbClr>
                </a:gs>
                <a:gs pos="72000">
                  <a:srgbClr val="00B05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'New SW Sep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'New SW Sep 2024'!$R$3:$R$17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9-4B78-9ECE-FE1069F5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21360"/>
        <c:axId val="191822320"/>
      </c:areaChart>
      <c:barChart>
        <c:barDir val="col"/>
        <c:grouping val="clustered"/>
        <c:varyColors val="0"/>
        <c:ser>
          <c:idx val="0"/>
          <c:order val="0"/>
          <c:tx>
            <c:strRef>
              <c:f>'New SW Sep 2024'!$Q$2</c:f>
              <c:strCache>
                <c:ptCount val="1"/>
                <c:pt idx="0">
                  <c:v>Delay [ms] N=147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SW Sep 2024'!$P$3:$P$17</c:f>
              <c:strCache>
                <c:ptCount val="15"/>
                <c:pt idx="0">
                  <c:v>0..100</c:v>
                </c:pt>
                <c:pt idx="1">
                  <c:v>100..200</c:v>
                </c:pt>
                <c:pt idx="2">
                  <c:v>200..300</c:v>
                </c:pt>
                <c:pt idx="3">
                  <c:v>300..400</c:v>
                </c:pt>
                <c:pt idx="4">
                  <c:v>400..500</c:v>
                </c:pt>
                <c:pt idx="5">
                  <c:v>500..600</c:v>
                </c:pt>
                <c:pt idx="6">
                  <c:v>600..700</c:v>
                </c:pt>
                <c:pt idx="7">
                  <c:v>700..800</c:v>
                </c:pt>
                <c:pt idx="8">
                  <c:v>800..900</c:v>
                </c:pt>
                <c:pt idx="9">
                  <c:v>900..1000</c:v>
                </c:pt>
                <c:pt idx="10">
                  <c:v>1000..1100</c:v>
                </c:pt>
                <c:pt idx="11">
                  <c:v>1100..1200</c:v>
                </c:pt>
                <c:pt idx="12">
                  <c:v>1200..1300</c:v>
                </c:pt>
                <c:pt idx="13">
                  <c:v>1300..1400</c:v>
                </c:pt>
                <c:pt idx="14">
                  <c:v>1400..1500</c:v>
                </c:pt>
              </c:strCache>
            </c:strRef>
          </c:cat>
          <c:val>
            <c:numRef>
              <c:f>'New SW Sep 2024'!$Q$3:$Q$17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70</c:v>
                </c:pt>
                <c:pt idx="3">
                  <c:v>48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9-4B78-9ECE-FE1069F5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1952"/>
        <c:axId val="38332432"/>
      </c:barChart>
      <c:catAx>
        <c:axId val="3833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2432"/>
        <c:crosses val="autoZero"/>
        <c:auto val="1"/>
        <c:lblAlgn val="ctr"/>
        <c:lblOffset val="100"/>
        <c:noMultiLvlLbl val="0"/>
      </c:catAx>
      <c:valAx>
        <c:axId val="383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952"/>
        <c:crosses val="autoZero"/>
        <c:crossBetween val="between"/>
      </c:valAx>
      <c:valAx>
        <c:axId val="191822320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1360"/>
        <c:crosses val="max"/>
        <c:crossBetween val="between"/>
        <c:majorUnit val="1"/>
      </c:valAx>
      <c:catAx>
        <c:axId val="19182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22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D151242B-F8BB-463A-A161-355F4447327A}" formatIdx="0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Time (s)</a:t>
              </a:r>
            </a:p>
          </cx:txPr>
        </cx:title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Repeats(N)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Repeats(N)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/>
              </a:rPr>
              <a:t>PSU delay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histogram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/>
              </a:rPr>
              <a:t> - v1 HW (N=217)</a:t>
            </a:r>
          </a:p>
        </cx:rich>
      </cx:tx>
    </cx:title>
    <cx:plotArea>
      <cx:plotAreaRegion>
        <cx:series layoutId="clusteredColumn" uniqueId="{9A9F241B-ED5B-463A-B3A6-132DA6985354}">
          <cx:tx>
            <cx:txData>
              <cx:f>_xlchart.v1.1</cx:f>
              <cx:v>Delay (s)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binning intervalClosed="r" underflow="0.5">
              <cx:binSize val="0.5"/>
            </cx:binning>
          </cx:layoutPr>
        </cx:series>
      </cx:plotAreaRegion>
      <cx:axis id="0">
        <cx:catScaling gapWidth="0"/>
        <cx:title>
          <cx:tx>
            <cx:txData>
              <cx:v>Delay [s]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Delay [s]</a:t>
              </a:r>
            </a:p>
          </cx:txPr>
        </cx:title>
        <cx:tickLabels/>
        <cx:numFmt formatCode="# ##0.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Samples [N]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Samples [N]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0" i="0" baseline="0">
                <a:effectLst/>
              </a:rPr>
              <a:t>PSU delay histogram - New HW and old SW (N=121)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D19348FB-306D-4B91-A408-E4FB9E79FE2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binning intervalClosed="r" underflow="400">
              <cx:binSize val="25"/>
            </cx:binning>
          </cx:layoutPr>
        </cx:series>
      </cx:plotAreaRegion>
      <cx:axis id="0">
        <cx:catScaling gapWidth="0"/>
        <cx:title>
          <cx:tx>
            <cx:txData>
              <cx:v>Delay [ms]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Delay [ms]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50"/>
        <cx:title>
          <cx:tx>
            <cx:txData>
              <cx:v>Samples [N]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Samples [N]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 eaLnBrk="1" fontAlgn="auto" latinLnBrk="0" hangingPunct="1"/>
            <a:r>
              <a:rPr lang="en-US" sz="1400" b="0" i="0" baseline="0">
                <a:effectLst/>
                <a:latin typeface="+mn-lt"/>
              </a:rPr>
              <a:t>PSU delay histogram - v2 HW (N=147)</a:t>
            </a:r>
            <a:endParaRPr lang="en-US" sz="1400">
              <a:effectLst/>
              <a:latin typeface="+mn-lt"/>
            </a:endParaRPr>
          </a:p>
        </cx:rich>
      </cx:tx>
    </cx:title>
    <cx:plotArea>
      <cx:plotAreaRegion>
        <cx:series layoutId="clusteredColumn" uniqueId="{9CB8953E-D6B8-4A27-A450-A1CE28388AD9}">
          <cx:tx>
            <cx:txData>
              <cx:f>_xlchart.v1.4</cx:f>
              <cx:v>Delay ms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binning intervalClosed="r" underflow="140">
              <cx:binSize val="35"/>
            </cx:binning>
          </cx:layoutPr>
        </cx:series>
      </cx:plotAreaRegion>
      <cx:axis id="0">
        <cx:catScaling gapWidth="0"/>
        <cx:title>
          <cx:tx>
            <cx:txData>
              <cx:v>Delay [ms]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Delay [ms]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Samples [N]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/>
                </a:rPr>
                <a:t>Samples [N]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116204</xdr:rowOff>
    </xdr:from>
    <xdr:to>
      <xdr:col>3</xdr:col>
      <xdr:colOff>565150</xdr:colOff>
      <xdr:row>30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660D8BE5-7C75-4A77-B33E-3057732EF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2295524"/>
              <a:ext cx="2609215" cy="3312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204470</xdr:colOff>
      <xdr:row>1</xdr:row>
      <xdr:rowOff>29210</xdr:rowOff>
    </xdr:from>
    <xdr:to>
      <xdr:col>39</xdr:col>
      <xdr:colOff>402590</xdr:colOff>
      <xdr:row>37</xdr:row>
      <xdr:rowOff>96520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91FB811-634C-9A7C-9796-3DDCD503A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39</xdr:row>
      <xdr:rowOff>104775</xdr:rowOff>
    </xdr:from>
    <xdr:to>
      <xdr:col>10</xdr:col>
      <xdr:colOff>285750</xdr:colOff>
      <xdr:row>63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A2BA4F4-5847-4415-BB19-C4281BA83ADC}"/>
                </a:ext>
                <a:ext uri="{147F2762-F138-4A5C-976F-8EAC2B608ADB}">
                  <a16:predDERef xmlns:a16="http://schemas.microsoft.com/office/drawing/2014/main" pred="{B91FB811-634C-9A7C-9796-3DDCD503A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7145655"/>
              <a:ext cx="6688455" cy="3966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222568</xdr:colOff>
      <xdr:row>40</xdr:row>
      <xdr:rowOff>15240</xdr:rowOff>
    </xdr:from>
    <xdr:to>
      <xdr:col>13</xdr:col>
      <xdr:colOff>200660</xdr:colOff>
      <xdr:row>69</xdr:row>
      <xdr:rowOff>135890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0ACC84-10DD-81AE-51AB-D0A176775E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428" y="7056120"/>
              <a:ext cx="7369492" cy="4982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512445</xdr:colOff>
      <xdr:row>2</xdr:row>
      <xdr:rowOff>102869</xdr:rowOff>
    </xdr:from>
    <xdr:to>
      <xdr:col>28</xdr:col>
      <xdr:colOff>508635</xdr:colOff>
      <xdr:row>25</xdr:row>
      <xdr:rowOff>150494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8D7A-04CF-D183-72B6-2BEC28AC9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451484</xdr:colOff>
      <xdr:row>20</xdr:row>
      <xdr:rowOff>111125</xdr:rowOff>
    </xdr:from>
    <xdr:to>
      <xdr:col>12</xdr:col>
      <xdr:colOff>574040</xdr:colOff>
      <xdr:row>50</xdr:row>
      <xdr:rowOff>17780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D13FD6B-DA47-2887-CEE4-5FC0CBEBB1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84" y="3799205"/>
              <a:ext cx="7285356" cy="4935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15239</xdr:colOff>
      <xdr:row>15</xdr:row>
      <xdr:rowOff>112396</xdr:rowOff>
    </xdr:from>
    <xdr:to>
      <xdr:col>26</xdr:col>
      <xdr:colOff>571499</xdr:colOff>
      <xdr:row>41</xdr:row>
      <xdr:rowOff>68581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208867-0FF9-D143-102A-F465D1992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8DEA25-8BE2-4F43-B977-6C512E12DBBF}" name="Table3" displayName="Table3" ref="A1:B36" totalsRowShown="0" headerRowDxfId="9">
  <autoFilter ref="A1:B36" xr:uid="{4A8DEA25-8BE2-4F43-B977-6C512E12DBBF}"/>
  <tableColumns count="2">
    <tableColumn id="1" xr3:uid="{911951CB-EF35-407B-89C4-0D32A17154A0}" name="Delay (s)" dataDxfId="8"/>
    <tableColumn id="2" xr3:uid="{23018547-0722-47BC-9090-ADBDA8A9D870}" name="Delay ms" dataDxfId="7">
      <calculatedColumnFormula>A2*1000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ACC370-E435-4E89-8976-EAB41B760CDA}" name="Table4" displayName="Table4" ref="H1:I218" totalsRowShown="0">
  <autoFilter ref="H1:I218" xr:uid="{CFACC370-E435-4E89-8976-EAB41B760CDA}"/>
  <tableColumns count="2">
    <tableColumn id="1" xr3:uid="{6471472F-BF42-4AD1-B74D-097811ACFB52}" name="Delay (s)" dataDxfId="6"/>
    <tableColumn id="2" xr3:uid="{1E85AB75-A49E-4B84-BDC4-A2613CABAA8B}" name="Delay ms" dataDxfId="5">
      <calculatedColumnFormula>H2*1000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61BA45-9CCA-41BB-AA41-8873903A479B}" name="Table2" displayName="Table2" ref="A2:A123" totalsRowShown="0" headerRowDxfId="4">
  <autoFilter ref="A2:A123" xr:uid="{3A61BA45-9CCA-41BB-AA41-8873903A479B}"/>
  <tableColumns count="1">
    <tableColumn id="1" xr3:uid="{58177F2E-8144-4DE9-9387-7F9AA9C5914F}" name="Delay ms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086E2-E377-4C4E-A93D-B0102B0296DA}" name="Table1" displayName="Table1" ref="A2:A149" totalsRowShown="0" headerRowDxfId="2" dataDxfId="1">
  <autoFilter ref="A2:A149" xr:uid="{E9D086E2-E377-4C4E-A93D-B0102B0296DA}">
    <filterColumn colId="0" hiddenButton="1"/>
  </autoFilter>
  <tableColumns count="1">
    <tableColumn id="1" xr3:uid="{9453290B-7D76-4261-AA93-834437716CA3}" name="Delay 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ttepla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5E5"/>
      </a:accent1>
      <a:accent2>
        <a:srgbClr val="F8971D"/>
      </a:accent2>
      <a:accent3>
        <a:srgbClr val="99999A"/>
      </a:accent3>
      <a:accent4>
        <a:srgbClr val="B8B8B8"/>
      </a:accent4>
      <a:accent5>
        <a:srgbClr val="D6D6D7"/>
      </a:accent5>
      <a:accent6>
        <a:srgbClr val="000000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61DE-E0D1-41DC-8BF3-B9CA29F7D1B7}">
  <dimension ref="A1:V218"/>
  <sheetViews>
    <sheetView topLeftCell="A36" zoomScaleNormal="100" workbookViewId="0">
      <selection activeCell="L46" sqref="L46"/>
    </sheetView>
  </sheetViews>
  <sheetFormatPr defaultRowHeight="13.2" x14ac:dyDescent="0.25"/>
  <cols>
    <col min="1" max="1" width="10.33203125" style="4" customWidth="1"/>
    <col min="2" max="2" width="11.5546875" style="4" customWidth="1"/>
    <col min="8" max="8" width="10.33203125" style="4" customWidth="1"/>
    <col min="9" max="9" width="10.44140625" customWidth="1"/>
    <col min="12" max="12" width="8.88671875" style="1"/>
    <col min="14" max="15" width="8.109375" style="5" bestFit="1" customWidth="1"/>
    <col min="16" max="16" width="12.109375" bestFit="1" customWidth="1"/>
  </cols>
  <sheetData>
    <row r="1" spans="1:22" x14ac:dyDescent="0.25">
      <c r="A1" s="4" t="s">
        <v>0</v>
      </c>
      <c r="B1" s="4" t="s">
        <v>1</v>
      </c>
      <c r="H1" s="4" t="s">
        <v>0</v>
      </c>
      <c r="I1" t="s">
        <v>1</v>
      </c>
      <c r="K1" s="9" t="s">
        <v>2</v>
      </c>
      <c r="L1" s="10">
        <f>COUNT(Table4[Delay (s)])</f>
        <v>217</v>
      </c>
      <c r="Q1">
        <f>SUM(Q3:Q115)</f>
        <v>217</v>
      </c>
      <c r="R1">
        <f t="shared" ref="R1:S1" si="0">SUM(R3:R115)</f>
        <v>121</v>
      </c>
      <c r="S1">
        <f t="shared" si="0"/>
        <v>147</v>
      </c>
    </row>
    <row r="2" spans="1:22" ht="52.8" x14ac:dyDescent="0.25">
      <c r="A2" s="4">
        <v>6.3310000000000004</v>
      </c>
      <c r="B2" s="1">
        <f>A2*1000</f>
        <v>6331</v>
      </c>
      <c r="H2" s="4">
        <v>8.7859999999999996</v>
      </c>
      <c r="I2" s="1">
        <f>H2*1000</f>
        <v>8786</v>
      </c>
      <c r="K2" s="9" t="s">
        <v>3</v>
      </c>
      <c r="L2" s="12">
        <f>MIN(Table4[Delay (s)])</f>
        <v>0.372</v>
      </c>
      <c r="M2" s="4"/>
      <c r="N2" s="7" t="s">
        <v>3</v>
      </c>
      <c r="O2" s="7" t="s">
        <v>4</v>
      </c>
      <c r="P2" s="8" t="s">
        <v>5</v>
      </c>
      <c r="Q2" s="3" t="str">
        <f>"Old HW &amp; SW v1 N="&amp;Q1</f>
        <v>Old HW &amp; SW v1 N=217</v>
      </c>
      <c r="R2" s="3" t="str">
        <f>"New HW &amp; SW v1 N="&amp;R1</f>
        <v>New HW &amp; SW v1 N=121</v>
      </c>
      <c r="S2" s="3" t="str">
        <f>"New HW &amp; SW v2 N="&amp;S1</f>
        <v>New HW &amp; SW v2 N=147</v>
      </c>
      <c r="T2" s="3" t="s">
        <v>6</v>
      </c>
      <c r="U2" s="3" t="s">
        <v>7</v>
      </c>
      <c r="V2" s="3" t="s">
        <v>8</v>
      </c>
    </row>
    <row r="3" spans="1:22" x14ac:dyDescent="0.25">
      <c r="A3" s="4">
        <v>3.2770000000000001</v>
      </c>
      <c r="B3" s="1">
        <f t="shared" ref="B3:B36" si="1">A3*1000</f>
        <v>3277</v>
      </c>
      <c r="H3" s="4">
        <v>8.8130000000000006</v>
      </c>
      <c r="I3" s="1">
        <f t="shared" ref="I3:I66" si="2">H3*1000</f>
        <v>8813</v>
      </c>
      <c r="K3" s="9" t="s">
        <v>4</v>
      </c>
      <c r="L3" s="12">
        <f>MAX(Table4[Delay (s)])</f>
        <v>11.242000000000001</v>
      </c>
      <c r="M3" s="4" t="s">
        <v>9</v>
      </c>
      <c r="N3" s="5">
        <v>0</v>
      </c>
      <c r="O3" s="5">
        <f>N3+99.9</f>
        <v>99.9</v>
      </c>
      <c r="P3" s="4" t="str">
        <f>TEXT(N3,"0")&amp;".."&amp;TEXT(N4,"0")</f>
        <v>0..100</v>
      </c>
      <c r="Q3">
        <f>COUNTIFS(Table4[Delay ms],"&gt;="&amp;$N3,Table4[Delay ms],"&lt;"&amp;$O3)</f>
        <v>0</v>
      </c>
      <c r="R3">
        <f>COUNTIFS(Table2[Delay ms],"&gt;="&amp;$N3,Table2[Delay ms],"&lt;"&amp;$O3)</f>
        <v>0</v>
      </c>
      <c r="S3">
        <f>COUNTIFS(Table1[Delay ms],"&gt;="&amp;$N3,Table1[Delay ms],"&lt;"&amp;$O3)</f>
        <v>0</v>
      </c>
      <c r="T3">
        <v>1</v>
      </c>
      <c r="U3">
        <f>100</f>
        <v>100</v>
      </c>
      <c r="V3" s="6">
        <v>0</v>
      </c>
    </row>
    <row r="4" spans="1:22" x14ac:dyDescent="0.25">
      <c r="A4" s="4">
        <v>1.325</v>
      </c>
      <c r="B4" s="1">
        <f t="shared" si="1"/>
        <v>1325</v>
      </c>
      <c r="H4" s="4">
        <v>0.59399999999999997</v>
      </c>
      <c r="I4" s="1">
        <f t="shared" si="2"/>
        <v>594</v>
      </c>
      <c r="K4" s="9" t="s">
        <v>10</v>
      </c>
      <c r="L4" s="12">
        <f>AVERAGE(Table4[Delay (s)])</f>
        <v>5.8348202764976991</v>
      </c>
      <c r="M4" s="4" t="s">
        <v>11</v>
      </c>
      <c r="N4" s="5">
        <f>N3+$O$3+0.1</f>
        <v>100</v>
      </c>
      <c r="O4" s="5">
        <f t="shared" ref="O4:O67" si="3">N4+99.9</f>
        <v>199.9</v>
      </c>
      <c r="P4" s="4" t="str">
        <f t="shared" ref="P4:P67" si="4">TEXT(N4,"0")&amp;".."&amp;TEXT(N5,"0")</f>
        <v>100..200</v>
      </c>
      <c r="Q4">
        <f>COUNTIFS(Table4[Delay ms],"&gt;="&amp;$N4,Table4[Delay ms],"&lt;"&amp;$O4)</f>
        <v>0</v>
      </c>
      <c r="R4">
        <f>COUNTIFS(Table2[Delay ms],"&gt;="&amp;$N4,Table2[Delay ms],"&lt;"&amp;$O4)</f>
        <v>0</v>
      </c>
      <c r="S4">
        <f>COUNTIFS(Table1[Delay ms],"&gt;="&amp;$N4,Table1[Delay ms],"&lt;"&amp;$O4)</f>
        <v>24</v>
      </c>
      <c r="T4">
        <v>1</v>
      </c>
      <c r="U4">
        <f>100</f>
        <v>100</v>
      </c>
      <c r="V4" s="6">
        <f>V3+($V$77-$V$3)/74</f>
        <v>1.3513513513513513</v>
      </c>
    </row>
    <row r="5" spans="1:22" x14ac:dyDescent="0.25">
      <c r="A5" s="4">
        <v>2.5139999999999998</v>
      </c>
      <c r="B5" s="1">
        <f t="shared" si="1"/>
        <v>2514</v>
      </c>
      <c r="H5" s="4">
        <v>6.2060000000000004</v>
      </c>
      <c r="I5" s="1">
        <f t="shared" si="2"/>
        <v>6206</v>
      </c>
      <c r="K5" s="9" t="s">
        <v>12</v>
      </c>
      <c r="L5" s="12">
        <f>_xlfn.STDEV.P(Table4[Delay (s)])</f>
        <v>2.886779550826962</v>
      </c>
      <c r="M5" s="4"/>
      <c r="N5" s="5">
        <f t="shared" ref="N5:N68" si="5">N4+$O$3+0.1</f>
        <v>200</v>
      </c>
      <c r="O5" s="5">
        <f t="shared" si="3"/>
        <v>299.89999999999998</v>
      </c>
      <c r="P5" s="4" t="str">
        <f t="shared" si="4"/>
        <v>200..300</v>
      </c>
      <c r="Q5">
        <f>COUNTIFS(Table4[Delay ms],"&gt;="&amp;$N5,Table4[Delay ms],"&lt;"&amp;$O5)</f>
        <v>0</v>
      </c>
      <c r="R5">
        <f>COUNTIFS(Table2[Delay ms],"&gt;="&amp;$N5,Table2[Delay ms],"&lt;"&amp;$O5)</f>
        <v>0</v>
      </c>
      <c r="S5">
        <f>COUNTIFS(Table1[Delay ms],"&gt;="&amp;$N5,Table1[Delay ms],"&lt;"&amp;$O5)</f>
        <v>70</v>
      </c>
      <c r="T5">
        <v>1</v>
      </c>
      <c r="U5">
        <f>100</f>
        <v>100</v>
      </c>
      <c r="V5" s="6">
        <f t="shared" ref="V5:V68" si="6">V4+($V$77-$V$3)/74</f>
        <v>2.7027027027027026</v>
      </c>
    </row>
    <row r="6" spans="1:22" x14ac:dyDescent="0.25">
      <c r="A6" s="4">
        <v>6.7679999999999998</v>
      </c>
      <c r="B6" s="1">
        <f t="shared" si="1"/>
        <v>6768</v>
      </c>
      <c r="H6" s="4">
        <v>6.218</v>
      </c>
      <c r="I6" s="1">
        <f t="shared" si="2"/>
        <v>6218</v>
      </c>
      <c r="K6" s="9" t="s">
        <v>13</v>
      </c>
      <c r="L6" s="13">
        <f>L5*2</f>
        <v>5.7735591016539241</v>
      </c>
      <c r="M6" s="4"/>
      <c r="N6" s="5">
        <f t="shared" si="5"/>
        <v>300</v>
      </c>
      <c r="O6" s="5">
        <f t="shared" si="3"/>
        <v>399.9</v>
      </c>
      <c r="P6" s="4" t="str">
        <f t="shared" si="4"/>
        <v>300..400</v>
      </c>
      <c r="Q6">
        <f>COUNTIFS(Table4[Delay ms],"&gt;="&amp;$N6,Table4[Delay ms],"&lt;"&amp;$O6)</f>
        <v>1</v>
      </c>
      <c r="R6">
        <f>COUNTIFS(Table2[Delay ms],"&gt;="&amp;$N6,Table2[Delay ms],"&lt;"&amp;$O6)</f>
        <v>8</v>
      </c>
      <c r="S6">
        <f>COUNTIFS(Table1[Delay ms],"&gt;="&amp;$N6,Table1[Delay ms],"&lt;"&amp;$O6)</f>
        <v>48</v>
      </c>
      <c r="T6">
        <v>1</v>
      </c>
      <c r="U6">
        <f>100</f>
        <v>100</v>
      </c>
      <c r="V6" s="6">
        <f t="shared" si="6"/>
        <v>4.0540540540540544</v>
      </c>
    </row>
    <row r="7" spans="1:22" x14ac:dyDescent="0.25">
      <c r="A7" s="4">
        <v>4.6260000000000003</v>
      </c>
      <c r="B7" s="1">
        <f t="shared" si="1"/>
        <v>4626</v>
      </c>
      <c r="H7" s="4">
        <v>2.754</v>
      </c>
      <c r="I7" s="1">
        <f t="shared" si="2"/>
        <v>2754</v>
      </c>
      <c r="M7" s="4"/>
      <c r="N7" s="5">
        <f t="shared" si="5"/>
        <v>400</v>
      </c>
      <c r="O7" s="5">
        <f t="shared" si="3"/>
        <v>499.9</v>
      </c>
      <c r="P7" s="4" t="str">
        <f t="shared" si="4"/>
        <v>400..500</v>
      </c>
      <c r="Q7">
        <f>COUNTIFS(Table4[Delay ms],"&gt;="&amp;$N7,Table4[Delay ms],"&lt;"&amp;$O7)</f>
        <v>1</v>
      </c>
      <c r="R7">
        <f>COUNTIFS(Table2[Delay ms],"&gt;="&amp;$N7,Table2[Delay ms],"&lt;"&amp;$O7)</f>
        <v>20</v>
      </c>
      <c r="S7">
        <f>COUNTIFS(Table1[Delay ms],"&gt;="&amp;$N7,Table1[Delay ms],"&lt;"&amp;$O7)</f>
        <v>5</v>
      </c>
      <c r="T7">
        <v>1</v>
      </c>
      <c r="U7">
        <f>100</f>
        <v>100</v>
      </c>
      <c r="V7" s="6">
        <f t="shared" si="6"/>
        <v>5.4054054054054053</v>
      </c>
    </row>
    <row r="8" spans="1:22" x14ac:dyDescent="0.25">
      <c r="A8" s="4">
        <v>7.0679999999999996</v>
      </c>
      <c r="B8" s="1">
        <f t="shared" si="1"/>
        <v>7068</v>
      </c>
      <c r="H8" s="4">
        <v>4.6230000000000002</v>
      </c>
      <c r="I8" s="1">
        <f t="shared" si="2"/>
        <v>4623</v>
      </c>
      <c r="M8" s="4"/>
      <c r="N8" s="5">
        <f t="shared" si="5"/>
        <v>500</v>
      </c>
      <c r="O8" s="5">
        <f t="shared" si="3"/>
        <v>599.9</v>
      </c>
      <c r="P8" s="4" t="str">
        <f t="shared" si="4"/>
        <v>500..600</v>
      </c>
      <c r="Q8">
        <f>COUNTIFS(Table4[Delay ms],"&gt;="&amp;$N8,Table4[Delay ms],"&lt;"&amp;$O8)</f>
        <v>3</v>
      </c>
      <c r="R8">
        <f>COUNTIFS(Table2[Delay ms],"&gt;="&amp;$N8,Table2[Delay ms],"&lt;"&amp;$O8)</f>
        <v>36</v>
      </c>
      <c r="S8">
        <f>COUNTIFS(Table1[Delay ms],"&gt;="&amp;$N8,Table1[Delay ms],"&lt;"&amp;$O8)</f>
        <v>0</v>
      </c>
      <c r="T8">
        <v>1</v>
      </c>
      <c r="U8">
        <f>100</f>
        <v>100</v>
      </c>
      <c r="V8" s="6">
        <f t="shared" si="6"/>
        <v>6.7567567567567561</v>
      </c>
    </row>
    <row r="9" spans="1:22" x14ac:dyDescent="0.25">
      <c r="A9" s="4">
        <v>0.67500000000000004</v>
      </c>
      <c r="B9" s="1">
        <f t="shared" si="1"/>
        <v>675</v>
      </c>
      <c r="H9" s="4">
        <v>6.5410000000000004</v>
      </c>
      <c r="I9" s="1">
        <f t="shared" si="2"/>
        <v>6541</v>
      </c>
      <c r="M9" s="4"/>
      <c r="N9" s="5">
        <f t="shared" si="5"/>
        <v>600</v>
      </c>
      <c r="O9" s="5">
        <f t="shared" si="3"/>
        <v>699.9</v>
      </c>
      <c r="P9" s="4" t="str">
        <f t="shared" si="4"/>
        <v>600..700</v>
      </c>
      <c r="Q9">
        <f>COUNTIFS(Table4[Delay ms],"&gt;="&amp;$N9,Table4[Delay ms],"&lt;"&amp;$O9)</f>
        <v>3</v>
      </c>
      <c r="R9">
        <f>COUNTIFS(Table2[Delay ms],"&gt;="&amp;$N9,Table2[Delay ms],"&lt;"&amp;$O9)</f>
        <v>11</v>
      </c>
      <c r="S9">
        <f>COUNTIFS(Table1[Delay ms],"&gt;="&amp;$N9,Table1[Delay ms],"&lt;"&amp;$O9)</f>
        <v>0</v>
      </c>
      <c r="T9">
        <v>1</v>
      </c>
      <c r="U9">
        <f>100</f>
        <v>100</v>
      </c>
      <c r="V9" s="6">
        <f t="shared" si="6"/>
        <v>8.108108108108107</v>
      </c>
    </row>
    <row r="10" spans="1:22" x14ac:dyDescent="0.25">
      <c r="A10" s="4">
        <v>6.7210000000000001</v>
      </c>
      <c r="B10" s="1">
        <f t="shared" si="1"/>
        <v>6721</v>
      </c>
      <c r="H10" s="4">
        <v>7.6470000000000002</v>
      </c>
      <c r="I10" s="1">
        <f t="shared" si="2"/>
        <v>7647</v>
      </c>
      <c r="M10" s="4"/>
      <c r="N10" s="5">
        <f t="shared" si="5"/>
        <v>700</v>
      </c>
      <c r="O10" s="5">
        <f t="shared" si="3"/>
        <v>799.9</v>
      </c>
      <c r="P10" s="4" t="str">
        <f t="shared" si="4"/>
        <v>700..800</v>
      </c>
      <c r="Q10">
        <f>COUNTIFS(Table4[Delay ms],"&gt;="&amp;$N10,Table4[Delay ms],"&lt;"&amp;$O10)</f>
        <v>3</v>
      </c>
      <c r="R10">
        <f>COUNTIFS(Table2[Delay ms],"&gt;="&amp;$N10,Table2[Delay ms],"&lt;"&amp;$O10)</f>
        <v>11</v>
      </c>
      <c r="S10">
        <f>COUNTIFS(Table1[Delay ms],"&gt;="&amp;$N10,Table1[Delay ms],"&lt;"&amp;$O10)</f>
        <v>0</v>
      </c>
      <c r="U10">
        <f>100</f>
        <v>100</v>
      </c>
      <c r="V10" s="6">
        <f t="shared" si="6"/>
        <v>9.4594594594594579</v>
      </c>
    </row>
    <row r="11" spans="1:22" x14ac:dyDescent="0.25">
      <c r="A11" s="4">
        <v>8.5909999999999993</v>
      </c>
      <c r="B11" s="1">
        <f t="shared" si="1"/>
        <v>8591</v>
      </c>
      <c r="H11" s="4">
        <v>1.5009999999999999</v>
      </c>
      <c r="I11" s="1">
        <f t="shared" si="2"/>
        <v>1501</v>
      </c>
      <c r="M11" s="4"/>
      <c r="N11" s="5">
        <f t="shared" si="5"/>
        <v>800</v>
      </c>
      <c r="O11" s="5">
        <f t="shared" si="3"/>
        <v>899.9</v>
      </c>
      <c r="P11" s="4" t="str">
        <f t="shared" si="4"/>
        <v>800..900</v>
      </c>
      <c r="Q11">
        <f>COUNTIFS(Table4[Delay ms],"&gt;="&amp;$N11,Table4[Delay ms],"&lt;"&amp;$O11)</f>
        <v>1</v>
      </c>
      <c r="R11">
        <f>COUNTIFS(Table2[Delay ms],"&gt;="&amp;$N11,Table2[Delay ms],"&lt;"&amp;$O11)</f>
        <v>32</v>
      </c>
      <c r="S11">
        <f>COUNTIFS(Table1[Delay ms],"&gt;="&amp;$N11,Table1[Delay ms],"&lt;"&amp;$O11)</f>
        <v>0</v>
      </c>
      <c r="U11">
        <f>100</f>
        <v>100</v>
      </c>
      <c r="V11" s="6">
        <f t="shared" si="6"/>
        <v>10.810810810810809</v>
      </c>
    </row>
    <row r="12" spans="1:22" x14ac:dyDescent="0.25">
      <c r="A12" s="4">
        <v>4.8140000000000001</v>
      </c>
      <c r="B12" s="1">
        <f t="shared" si="1"/>
        <v>4814</v>
      </c>
      <c r="H12" s="4">
        <v>4.5170000000000003</v>
      </c>
      <c r="I12" s="1">
        <f t="shared" si="2"/>
        <v>4517</v>
      </c>
      <c r="M12" s="4"/>
      <c r="N12" s="5">
        <f t="shared" si="5"/>
        <v>900</v>
      </c>
      <c r="O12" s="5">
        <f t="shared" si="3"/>
        <v>999.9</v>
      </c>
      <c r="P12" s="4" t="str">
        <f t="shared" si="4"/>
        <v>900..1000</v>
      </c>
      <c r="Q12">
        <f>COUNTIFS(Table4[Delay ms],"&gt;="&amp;$N12,Table4[Delay ms],"&lt;"&amp;$O12)</f>
        <v>3</v>
      </c>
      <c r="R12">
        <f>COUNTIFS(Table2[Delay ms],"&gt;="&amp;$N12,Table2[Delay ms],"&lt;"&amp;$O12)</f>
        <v>2</v>
      </c>
      <c r="S12">
        <f>COUNTIFS(Table1[Delay ms],"&gt;="&amp;$N12,Table1[Delay ms],"&lt;"&amp;$O12)</f>
        <v>0</v>
      </c>
      <c r="U12">
        <f>100</f>
        <v>100</v>
      </c>
      <c r="V12" s="6">
        <f t="shared" si="6"/>
        <v>12.16216216216216</v>
      </c>
    </row>
    <row r="13" spans="1:22" x14ac:dyDescent="0.25">
      <c r="A13" s="4">
        <v>6.6470000000000002</v>
      </c>
      <c r="B13" s="1">
        <f t="shared" si="1"/>
        <v>6647</v>
      </c>
      <c r="H13" s="4">
        <v>7.19</v>
      </c>
      <c r="I13" s="1">
        <f t="shared" si="2"/>
        <v>7190</v>
      </c>
      <c r="M13" s="4"/>
      <c r="N13" s="5">
        <f t="shared" si="5"/>
        <v>1000</v>
      </c>
      <c r="O13" s="5">
        <f t="shared" si="3"/>
        <v>1099.9000000000001</v>
      </c>
      <c r="P13" s="4" t="str">
        <f t="shared" si="4"/>
        <v>1000..1100</v>
      </c>
      <c r="Q13">
        <f>COUNTIFS(Table4[Delay ms],"&gt;="&amp;$N13,Table4[Delay ms],"&lt;"&amp;$O13)</f>
        <v>0</v>
      </c>
      <c r="R13">
        <f>COUNTIFS(Table2[Delay ms],"&gt;="&amp;$N13,Table2[Delay ms],"&lt;"&amp;$O13)</f>
        <v>1</v>
      </c>
      <c r="S13">
        <f>COUNTIFS(Table1[Delay ms],"&gt;="&amp;$N13,Table1[Delay ms],"&lt;"&amp;$O13)</f>
        <v>0</v>
      </c>
      <c r="U13">
        <f>100</f>
        <v>100</v>
      </c>
      <c r="V13" s="6">
        <f t="shared" si="6"/>
        <v>13.51351351351351</v>
      </c>
    </row>
    <row r="14" spans="1:22" x14ac:dyDescent="0.25">
      <c r="A14" s="4">
        <v>4.96</v>
      </c>
      <c r="B14" s="1">
        <f t="shared" si="1"/>
        <v>4960</v>
      </c>
      <c r="H14" s="4">
        <v>9.3680000000000003</v>
      </c>
      <c r="I14" s="1">
        <f t="shared" si="2"/>
        <v>9368</v>
      </c>
      <c r="M14" s="4"/>
      <c r="N14" s="5">
        <f t="shared" si="5"/>
        <v>1100</v>
      </c>
      <c r="O14" s="5">
        <f t="shared" si="3"/>
        <v>1199.9000000000001</v>
      </c>
      <c r="P14" s="4" t="str">
        <f t="shared" si="4"/>
        <v>1100..1200</v>
      </c>
      <c r="Q14">
        <f>COUNTIFS(Table4[Delay ms],"&gt;="&amp;$N14,Table4[Delay ms],"&lt;"&amp;$O14)</f>
        <v>1</v>
      </c>
      <c r="R14">
        <f>COUNTIFS(Table2[Delay ms],"&gt;="&amp;$N14,Table2[Delay ms],"&lt;"&amp;$O14)</f>
        <v>0</v>
      </c>
      <c r="S14">
        <f>COUNTIFS(Table1[Delay ms],"&gt;="&amp;$N14,Table1[Delay ms],"&lt;"&amp;$O14)</f>
        <v>0</v>
      </c>
      <c r="U14">
        <f>100</f>
        <v>100</v>
      </c>
      <c r="V14" s="6">
        <f t="shared" si="6"/>
        <v>14.864864864864861</v>
      </c>
    </row>
    <row r="15" spans="1:22" x14ac:dyDescent="0.25">
      <c r="A15" s="4">
        <v>8.0380000000000003</v>
      </c>
      <c r="B15" s="1">
        <f t="shared" si="1"/>
        <v>8038</v>
      </c>
      <c r="H15" s="4">
        <v>7.2889999999999997</v>
      </c>
      <c r="I15" s="1">
        <f t="shared" si="2"/>
        <v>7289</v>
      </c>
      <c r="M15" s="4"/>
      <c r="N15" s="5">
        <f t="shared" si="5"/>
        <v>1200</v>
      </c>
      <c r="O15" s="5">
        <f t="shared" si="3"/>
        <v>1299.9000000000001</v>
      </c>
      <c r="P15" s="4" t="str">
        <f t="shared" si="4"/>
        <v>1200..1300</v>
      </c>
      <c r="Q15">
        <f>COUNTIFS(Table4[Delay ms],"&gt;="&amp;$N15,Table4[Delay ms],"&lt;"&amp;$O15)</f>
        <v>0</v>
      </c>
      <c r="R15">
        <f>COUNTIFS(Table2[Delay ms],"&gt;="&amp;$N15,Table2[Delay ms],"&lt;"&amp;$O15)</f>
        <v>0</v>
      </c>
      <c r="S15">
        <f>COUNTIFS(Table1[Delay ms],"&gt;="&amp;$N15,Table1[Delay ms],"&lt;"&amp;$O15)</f>
        <v>0</v>
      </c>
      <c r="U15">
        <f>100</f>
        <v>100</v>
      </c>
      <c r="V15" s="6">
        <f t="shared" si="6"/>
        <v>16.216216216216214</v>
      </c>
    </row>
    <row r="16" spans="1:22" x14ac:dyDescent="0.25">
      <c r="A16" s="4">
        <v>1.494</v>
      </c>
      <c r="B16" s="1">
        <f t="shared" si="1"/>
        <v>1494</v>
      </c>
      <c r="H16" s="4">
        <v>6.0090000000000003</v>
      </c>
      <c r="I16" s="1">
        <f t="shared" si="2"/>
        <v>6009</v>
      </c>
      <c r="K16" t="s">
        <v>14</v>
      </c>
      <c r="M16" s="4"/>
      <c r="N16" s="5">
        <f t="shared" si="5"/>
        <v>1300</v>
      </c>
      <c r="O16" s="5">
        <f t="shared" si="3"/>
        <v>1399.9</v>
      </c>
      <c r="P16" s="4" t="str">
        <f t="shared" si="4"/>
        <v>1300..1400</v>
      </c>
      <c r="Q16">
        <f>COUNTIFS(Table4[Delay ms],"&gt;="&amp;$N16,Table4[Delay ms],"&lt;"&amp;$O16)</f>
        <v>1</v>
      </c>
      <c r="R16">
        <f>COUNTIFS(Table2[Delay ms],"&gt;="&amp;$N16,Table2[Delay ms],"&lt;"&amp;$O16)</f>
        <v>0</v>
      </c>
      <c r="S16">
        <f>COUNTIFS(Table1[Delay ms],"&gt;="&amp;$N16,Table1[Delay ms],"&lt;"&amp;$O16)</f>
        <v>0</v>
      </c>
      <c r="V16" s="6">
        <f t="shared" si="6"/>
        <v>17.567567567567565</v>
      </c>
    </row>
    <row r="17" spans="1:22" x14ac:dyDescent="0.25">
      <c r="A17" s="4">
        <v>6.6420000000000003</v>
      </c>
      <c r="B17" s="1">
        <f t="shared" si="1"/>
        <v>6642</v>
      </c>
      <c r="H17" s="4">
        <v>2.8290000000000002</v>
      </c>
      <c r="I17" s="1">
        <f t="shared" si="2"/>
        <v>2829</v>
      </c>
      <c r="K17" t="s">
        <v>15</v>
      </c>
      <c r="M17" s="4"/>
      <c r="N17" s="5">
        <f t="shared" si="5"/>
        <v>1400</v>
      </c>
      <c r="O17" s="5">
        <f t="shared" si="3"/>
        <v>1499.9</v>
      </c>
      <c r="P17" s="4" t="str">
        <f t="shared" si="4"/>
        <v>1400..1500</v>
      </c>
      <c r="Q17">
        <f>COUNTIFS(Table4[Delay ms],"&gt;="&amp;$N17,Table4[Delay ms],"&lt;"&amp;$O17)</f>
        <v>2</v>
      </c>
      <c r="R17">
        <f>COUNTIFS(Table2[Delay ms],"&gt;="&amp;$N17,Table2[Delay ms],"&lt;"&amp;$O17)</f>
        <v>0</v>
      </c>
      <c r="S17">
        <f>COUNTIFS(Table1[Delay ms],"&gt;="&amp;$N17,Table1[Delay ms],"&lt;"&amp;$O17)</f>
        <v>0</v>
      </c>
      <c r="V17" s="6">
        <f t="shared" si="6"/>
        <v>18.918918918918916</v>
      </c>
    </row>
    <row r="18" spans="1:22" x14ac:dyDescent="0.25">
      <c r="A18" s="4">
        <v>1.7789999999999999</v>
      </c>
      <c r="B18" s="1">
        <f t="shared" si="1"/>
        <v>1779</v>
      </c>
      <c r="H18" s="4">
        <v>6.0960000000000001</v>
      </c>
      <c r="I18" s="1">
        <f t="shared" si="2"/>
        <v>6096</v>
      </c>
      <c r="M18" s="4"/>
      <c r="N18" s="5">
        <f t="shared" si="5"/>
        <v>1500</v>
      </c>
      <c r="O18" s="5">
        <f t="shared" si="3"/>
        <v>1599.9</v>
      </c>
      <c r="P18" s="4" t="str">
        <f t="shared" si="4"/>
        <v>1500..1600</v>
      </c>
      <c r="Q18">
        <f>COUNTIFS(Table4[Delay ms],"&gt;="&amp;$N18,Table4[Delay ms],"&lt;"&amp;$O18)</f>
        <v>5</v>
      </c>
      <c r="R18">
        <f>COUNTIFS(Table2[Delay ms],"&gt;="&amp;$N18,Table2[Delay ms],"&lt;"&amp;$O18)</f>
        <v>0</v>
      </c>
      <c r="S18">
        <f>COUNTIFS(Table1[Delay ms],"&gt;="&amp;$N18,Table1[Delay ms],"&lt;"&amp;$O18)</f>
        <v>0</v>
      </c>
      <c r="V18" s="6">
        <f t="shared" si="6"/>
        <v>20.270270270270267</v>
      </c>
    </row>
    <row r="19" spans="1:22" x14ac:dyDescent="0.25">
      <c r="A19" s="4">
        <v>10.071999999999999</v>
      </c>
      <c r="B19" s="1">
        <f t="shared" si="1"/>
        <v>10072</v>
      </c>
      <c r="H19" s="4">
        <v>7.282</v>
      </c>
      <c r="I19" s="1">
        <f t="shared" si="2"/>
        <v>7282</v>
      </c>
      <c r="M19" s="4"/>
      <c r="N19" s="5">
        <f t="shared" si="5"/>
        <v>1600</v>
      </c>
      <c r="O19" s="5">
        <f t="shared" si="3"/>
        <v>1699.9</v>
      </c>
      <c r="P19" s="4" t="str">
        <f t="shared" si="4"/>
        <v>1600..1700</v>
      </c>
      <c r="Q19">
        <f>COUNTIFS(Table4[Delay ms],"&gt;="&amp;$N19,Table4[Delay ms],"&lt;"&amp;$O19)</f>
        <v>0</v>
      </c>
      <c r="R19">
        <f>COUNTIFS(Table2[Delay ms],"&gt;="&amp;$N19,Table2[Delay ms],"&lt;"&amp;$O19)</f>
        <v>0</v>
      </c>
      <c r="S19">
        <f>COUNTIFS(Table1[Delay ms],"&gt;="&amp;$N19,Table1[Delay ms],"&lt;"&amp;$O19)</f>
        <v>0</v>
      </c>
      <c r="V19" s="6">
        <f t="shared" si="6"/>
        <v>21.621621621621617</v>
      </c>
    </row>
    <row r="20" spans="1:22" x14ac:dyDescent="0.25">
      <c r="A20" s="4">
        <v>2.145</v>
      </c>
      <c r="B20" s="1">
        <f t="shared" si="1"/>
        <v>2145</v>
      </c>
      <c r="H20" s="4">
        <v>10.266999999999999</v>
      </c>
      <c r="I20" s="1">
        <f t="shared" si="2"/>
        <v>10267</v>
      </c>
      <c r="M20" s="4"/>
      <c r="N20" s="5">
        <f t="shared" si="5"/>
        <v>1700</v>
      </c>
      <c r="O20" s="5">
        <f t="shared" si="3"/>
        <v>1799.9</v>
      </c>
      <c r="P20" s="4" t="str">
        <f t="shared" si="4"/>
        <v>1700..1800</v>
      </c>
      <c r="Q20">
        <f>COUNTIFS(Table4[Delay ms],"&gt;="&amp;$N20,Table4[Delay ms],"&lt;"&amp;$O20)</f>
        <v>2</v>
      </c>
      <c r="R20">
        <f>COUNTIFS(Table2[Delay ms],"&gt;="&amp;$N20,Table2[Delay ms],"&lt;"&amp;$O20)</f>
        <v>0</v>
      </c>
      <c r="S20">
        <f>COUNTIFS(Table1[Delay ms],"&gt;="&amp;$N20,Table1[Delay ms],"&lt;"&amp;$O20)</f>
        <v>0</v>
      </c>
      <c r="V20" s="6">
        <f t="shared" si="6"/>
        <v>22.972972972972968</v>
      </c>
    </row>
    <row r="21" spans="1:22" x14ac:dyDescent="0.25">
      <c r="A21" s="4">
        <v>9.9320000000000004</v>
      </c>
      <c r="B21" s="1">
        <f t="shared" si="1"/>
        <v>9932</v>
      </c>
      <c r="H21" s="4">
        <v>0.78500000000000003</v>
      </c>
      <c r="I21" s="1">
        <f t="shared" si="2"/>
        <v>785</v>
      </c>
      <c r="M21" s="4"/>
      <c r="N21" s="5">
        <f t="shared" si="5"/>
        <v>1800</v>
      </c>
      <c r="O21" s="5">
        <f t="shared" si="3"/>
        <v>1899.9</v>
      </c>
      <c r="P21" s="4" t="str">
        <f t="shared" si="4"/>
        <v>1800..1900</v>
      </c>
      <c r="Q21">
        <f>COUNTIFS(Table4[Delay ms],"&gt;="&amp;$N21,Table4[Delay ms],"&lt;"&amp;$O21)</f>
        <v>3</v>
      </c>
      <c r="R21">
        <f>COUNTIFS(Table2[Delay ms],"&gt;="&amp;$N21,Table2[Delay ms],"&lt;"&amp;$O21)</f>
        <v>0</v>
      </c>
      <c r="S21">
        <f>COUNTIFS(Table1[Delay ms],"&gt;="&amp;$N21,Table1[Delay ms],"&lt;"&amp;$O21)</f>
        <v>0</v>
      </c>
      <c r="V21" s="6">
        <f t="shared" si="6"/>
        <v>24.324324324324319</v>
      </c>
    </row>
    <row r="22" spans="1:22" x14ac:dyDescent="0.25">
      <c r="A22" s="4">
        <v>4.649</v>
      </c>
      <c r="B22" s="1">
        <f t="shared" si="1"/>
        <v>4649</v>
      </c>
      <c r="H22" s="4">
        <v>9.7439999999999998</v>
      </c>
      <c r="I22" s="1">
        <f t="shared" si="2"/>
        <v>9744</v>
      </c>
      <c r="M22" s="4"/>
      <c r="N22" s="5">
        <f t="shared" si="5"/>
        <v>1900</v>
      </c>
      <c r="O22" s="5">
        <f t="shared" si="3"/>
        <v>1999.9</v>
      </c>
      <c r="P22" s="4" t="str">
        <f t="shared" si="4"/>
        <v>1900..2000</v>
      </c>
      <c r="Q22">
        <f>COUNTIFS(Table4[Delay ms],"&gt;="&amp;$N22,Table4[Delay ms],"&lt;"&amp;$O22)</f>
        <v>0</v>
      </c>
      <c r="R22">
        <f>COUNTIFS(Table2[Delay ms],"&gt;="&amp;$N22,Table2[Delay ms],"&lt;"&amp;$O22)</f>
        <v>0</v>
      </c>
      <c r="S22">
        <f>COUNTIFS(Table1[Delay ms],"&gt;="&amp;$N22,Table1[Delay ms],"&lt;"&amp;$O22)</f>
        <v>0</v>
      </c>
      <c r="V22" s="6">
        <f t="shared" si="6"/>
        <v>25.67567567567567</v>
      </c>
    </row>
    <row r="23" spans="1:22" x14ac:dyDescent="0.25">
      <c r="A23" s="4">
        <v>9.0909999999999993</v>
      </c>
      <c r="B23" s="1">
        <f t="shared" si="1"/>
        <v>9091</v>
      </c>
      <c r="H23" s="4">
        <v>5.0910000000000002</v>
      </c>
      <c r="I23" s="1">
        <f t="shared" si="2"/>
        <v>5091</v>
      </c>
      <c r="M23" s="4"/>
      <c r="N23" s="5">
        <f t="shared" si="5"/>
        <v>2000</v>
      </c>
      <c r="O23" s="5">
        <f t="shared" si="3"/>
        <v>2099.9</v>
      </c>
      <c r="P23" s="4" t="str">
        <f t="shared" si="4"/>
        <v>2000..2100</v>
      </c>
      <c r="Q23">
        <f>COUNTIFS(Table4[Delay ms],"&gt;="&amp;$N23,Table4[Delay ms],"&lt;"&amp;$O23)</f>
        <v>0</v>
      </c>
      <c r="R23">
        <f>COUNTIFS(Table2[Delay ms],"&gt;="&amp;$N23,Table2[Delay ms],"&lt;"&amp;$O23)</f>
        <v>0</v>
      </c>
      <c r="S23">
        <f>COUNTIFS(Table1[Delay ms],"&gt;="&amp;$N23,Table1[Delay ms],"&lt;"&amp;$O23)</f>
        <v>0</v>
      </c>
      <c r="V23" s="6">
        <f t="shared" si="6"/>
        <v>27.027027027027021</v>
      </c>
    </row>
    <row r="24" spans="1:22" x14ac:dyDescent="0.25">
      <c r="A24" s="4">
        <v>3.9049999999999998</v>
      </c>
      <c r="B24" s="1">
        <f t="shared" si="1"/>
        <v>3905</v>
      </c>
      <c r="H24" s="4">
        <v>9.9960000000000004</v>
      </c>
      <c r="I24" s="1">
        <f t="shared" si="2"/>
        <v>9996</v>
      </c>
      <c r="M24" s="4"/>
      <c r="N24" s="5">
        <f t="shared" si="5"/>
        <v>2100</v>
      </c>
      <c r="O24" s="5">
        <f t="shared" si="3"/>
        <v>2199.9</v>
      </c>
      <c r="P24" s="4" t="str">
        <f t="shared" si="4"/>
        <v>2100..2200</v>
      </c>
      <c r="Q24">
        <f>COUNTIFS(Table4[Delay ms],"&gt;="&amp;$N24,Table4[Delay ms],"&lt;"&amp;$O24)</f>
        <v>1</v>
      </c>
      <c r="R24">
        <f>COUNTIFS(Table2[Delay ms],"&gt;="&amp;$N24,Table2[Delay ms],"&lt;"&amp;$O24)</f>
        <v>0</v>
      </c>
      <c r="S24">
        <f>COUNTIFS(Table1[Delay ms],"&gt;="&amp;$N24,Table1[Delay ms],"&lt;"&amp;$O24)</f>
        <v>0</v>
      </c>
      <c r="V24" s="6">
        <f t="shared" si="6"/>
        <v>28.378378378378372</v>
      </c>
    </row>
    <row r="25" spans="1:22" x14ac:dyDescent="0.25">
      <c r="A25" s="4">
        <v>2.399</v>
      </c>
      <c r="B25" s="1">
        <f t="shared" si="1"/>
        <v>2399</v>
      </c>
      <c r="H25" s="4">
        <v>4.2679999999999998</v>
      </c>
      <c r="I25" s="1">
        <f t="shared" si="2"/>
        <v>4268</v>
      </c>
      <c r="M25" s="4"/>
      <c r="N25" s="5">
        <f t="shared" si="5"/>
        <v>2200</v>
      </c>
      <c r="O25" s="5">
        <f t="shared" si="3"/>
        <v>2299.9</v>
      </c>
      <c r="P25" s="4" t="str">
        <f t="shared" si="4"/>
        <v>2200..2300</v>
      </c>
      <c r="Q25">
        <f>COUNTIFS(Table4[Delay ms],"&gt;="&amp;$N25,Table4[Delay ms],"&lt;"&amp;$O25)</f>
        <v>1</v>
      </c>
      <c r="R25">
        <f>COUNTIFS(Table2[Delay ms],"&gt;="&amp;$N25,Table2[Delay ms],"&lt;"&amp;$O25)</f>
        <v>0</v>
      </c>
      <c r="S25">
        <f>COUNTIFS(Table1[Delay ms],"&gt;="&amp;$N25,Table1[Delay ms],"&lt;"&amp;$O25)</f>
        <v>0</v>
      </c>
      <c r="V25" s="6">
        <f t="shared" si="6"/>
        <v>29.729729729729723</v>
      </c>
    </row>
    <row r="26" spans="1:22" x14ac:dyDescent="0.25">
      <c r="A26" s="4">
        <v>4.7460000000000004</v>
      </c>
      <c r="B26" s="1">
        <f t="shared" si="1"/>
        <v>4746</v>
      </c>
      <c r="H26" s="4">
        <v>5.6829999999999998</v>
      </c>
      <c r="I26" s="1">
        <f t="shared" si="2"/>
        <v>5683</v>
      </c>
      <c r="K26">
        <f>SUM(K27:K74)</f>
        <v>217</v>
      </c>
      <c r="L26" s="11"/>
      <c r="M26" s="4"/>
      <c r="N26" s="5">
        <f t="shared" si="5"/>
        <v>2300</v>
      </c>
      <c r="O26" s="5">
        <f t="shared" si="3"/>
        <v>2399.9</v>
      </c>
      <c r="P26" s="4" t="str">
        <f t="shared" si="4"/>
        <v>2300..2400</v>
      </c>
      <c r="Q26">
        <f>COUNTIFS(Table4[Delay ms],"&gt;="&amp;$N26,Table4[Delay ms],"&lt;"&amp;$O26)</f>
        <v>2</v>
      </c>
      <c r="R26">
        <f>COUNTIFS(Table2[Delay ms],"&gt;="&amp;$N26,Table2[Delay ms],"&lt;"&amp;$O26)</f>
        <v>0</v>
      </c>
      <c r="S26">
        <f>COUNTIFS(Table1[Delay ms],"&gt;="&amp;$N26,Table1[Delay ms],"&lt;"&amp;$O26)</f>
        <v>0</v>
      </c>
      <c r="V26" s="6">
        <f t="shared" si="6"/>
        <v>31.081081081081074</v>
      </c>
    </row>
    <row r="27" spans="1:22" x14ac:dyDescent="0.25">
      <c r="A27" s="4">
        <v>1.1399999999999999</v>
      </c>
      <c r="B27" s="1">
        <f t="shared" si="1"/>
        <v>1140</v>
      </c>
      <c r="H27" s="4">
        <v>4.9820000000000002</v>
      </c>
      <c r="I27" s="1">
        <f t="shared" si="2"/>
        <v>4982</v>
      </c>
      <c r="K27">
        <v>3</v>
      </c>
      <c r="L27" s="14">
        <f>SUM(K$27:K27)/$K$26</f>
        <v>1.3824884792626729E-2</v>
      </c>
      <c r="M27" s="4"/>
      <c r="N27" s="5">
        <f t="shared" si="5"/>
        <v>2400</v>
      </c>
      <c r="O27" s="5">
        <f t="shared" si="3"/>
        <v>2499.9</v>
      </c>
      <c r="P27" s="4" t="str">
        <f t="shared" si="4"/>
        <v>2400..2500</v>
      </c>
      <c r="Q27">
        <f>COUNTIFS(Table4[Delay ms],"&gt;="&amp;$N27,Table4[Delay ms],"&lt;"&amp;$O27)</f>
        <v>2</v>
      </c>
      <c r="R27">
        <f>COUNTIFS(Table2[Delay ms],"&gt;="&amp;$N27,Table2[Delay ms],"&lt;"&amp;$O27)</f>
        <v>0</v>
      </c>
      <c r="S27">
        <f>COUNTIFS(Table1[Delay ms],"&gt;="&amp;$N27,Table1[Delay ms],"&lt;"&amp;$O27)</f>
        <v>0</v>
      </c>
      <c r="V27" s="6">
        <f t="shared" si="6"/>
        <v>32.432432432432428</v>
      </c>
    </row>
    <row r="28" spans="1:22" x14ac:dyDescent="0.25">
      <c r="A28" s="4">
        <v>6.8979999999999997</v>
      </c>
      <c r="B28" s="1">
        <f t="shared" si="1"/>
        <v>6898</v>
      </c>
      <c r="H28" s="4">
        <v>9.2170000000000005</v>
      </c>
      <c r="I28" s="1">
        <f t="shared" si="2"/>
        <v>9217</v>
      </c>
      <c r="K28">
        <v>12</v>
      </c>
      <c r="L28" s="14">
        <f>SUM(K$27:K28)/$K$26</f>
        <v>6.9124423963133647E-2</v>
      </c>
      <c r="M28" s="4"/>
      <c r="N28" s="5">
        <f t="shared" si="5"/>
        <v>2500</v>
      </c>
      <c r="O28" s="5">
        <f t="shared" si="3"/>
        <v>2599.9</v>
      </c>
      <c r="P28" s="4" t="str">
        <f t="shared" si="4"/>
        <v>2500..2600</v>
      </c>
      <c r="Q28">
        <f>COUNTIFS(Table4[Delay ms],"&gt;="&amp;$N28,Table4[Delay ms],"&lt;"&amp;$O28)</f>
        <v>1</v>
      </c>
      <c r="R28">
        <f>COUNTIFS(Table2[Delay ms],"&gt;="&amp;$N28,Table2[Delay ms],"&lt;"&amp;$O28)</f>
        <v>0</v>
      </c>
      <c r="S28">
        <f>COUNTIFS(Table1[Delay ms],"&gt;="&amp;$N28,Table1[Delay ms],"&lt;"&amp;$O28)</f>
        <v>0</v>
      </c>
      <c r="V28" s="6">
        <f t="shared" si="6"/>
        <v>33.783783783783782</v>
      </c>
    </row>
    <row r="29" spans="1:22" x14ac:dyDescent="0.25">
      <c r="A29" s="4">
        <v>7.282</v>
      </c>
      <c r="B29" s="1">
        <f t="shared" si="1"/>
        <v>7282</v>
      </c>
      <c r="H29" s="4">
        <v>3.62</v>
      </c>
      <c r="I29" s="1">
        <f t="shared" si="2"/>
        <v>3620</v>
      </c>
      <c r="K29">
        <v>4</v>
      </c>
      <c r="L29" s="14">
        <f>SUM(K$27:K29)/$K$26</f>
        <v>8.755760368663594E-2</v>
      </c>
      <c r="N29" s="5">
        <f t="shared" si="5"/>
        <v>2600</v>
      </c>
      <c r="O29" s="5">
        <f t="shared" si="3"/>
        <v>2699.9</v>
      </c>
      <c r="P29" s="4" t="str">
        <f t="shared" si="4"/>
        <v>2600..2700</v>
      </c>
      <c r="Q29">
        <f>COUNTIFS(Table4[Delay ms],"&gt;="&amp;$N29,Table4[Delay ms],"&lt;"&amp;$O29)</f>
        <v>4</v>
      </c>
      <c r="R29">
        <f>COUNTIFS(Table2[Delay ms],"&gt;="&amp;$N29,Table2[Delay ms],"&lt;"&amp;$O29)</f>
        <v>0</v>
      </c>
      <c r="S29">
        <f>COUNTIFS(Table1[Delay ms],"&gt;="&amp;$N29,Table1[Delay ms],"&lt;"&amp;$O29)</f>
        <v>0</v>
      </c>
      <c r="V29" s="6">
        <f t="shared" si="6"/>
        <v>35.135135135135137</v>
      </c>
    </row>
    <row r="30" spans="1:22" x14ac:dyDescent="0.25">
      <c r="A30" s="4">
        <v>4.3620000000000001</v>
      </c>
      <c r="B30" s="1">
        <f t="shared" si="1"/>
        <v>4362</v>
      </c>
      <c r="H30" s="4">
        <v>3.9849999999999999</v>
      </c>
      <c r="I30" s="1">
        <f t="shared" si="2"/>
        <v>3985</v>
      </c>
      <c r="K30">
        <v>10</v>
      </c>
      <c r="L30" s="14">
        <f>SUM(K$27:K30)/$K$26</f>
        <v>0.13364055299539171</v>
      </c>
      <c r="N30" s="5">
        <f t="shared" si="5"/>
        <v>2700</v>
      </c>
      <c r="O30" s="5">
        <f t="shared" si="3"/>
        <v>2799.9</v>
      </c>
      <c r="P30" s="4" t="str">
        <f t="shared" si="4"/>
        <v>2700..2800</v>
      </c>
      <c r="Q30">
        <f>COUNTIFS(Table4[Delay ms],"&gt;="&amp;$N30,Table4[Delay ms],"&lt;"&amp;$O30)</f>
        <v>3</v>
      </c>
      <c r="R30">
        <f>COUNTIFS(Table2[Delay ms],"&gt;="&amp;$N30,Table2[Delay ms],"&lt;"&amp;$O30)</f>
        <v>0</v>
      </c>
      <c r="S30">
        <f>COUNTIFS(Table1[Delay ms],"&gt;="&amp;$N30,Table1[Delay ms],"&lt;"&amp;$O30)</f>
        <v>0</v>
      </c>
      <c r="V30" s="6">
        <f t="shared" si="6"/>
        <v>36.486486486486491</v>
      </c>
    </row>
    <row r="31" spans="1:22" x14ac:dyDescent="0.25">
      <c r="A31" s="4">
        <v>8.125</v>
      </c>
      <c r="B31" s="1">
        <f t="shared" si="1"/>
        <v>8125</v>
      </c>
      <c r="H31" s="4">
        <v>8.3350000000000009</v>
      </c>
      <c r="I31" s="1">
        <f t="shared" si="2"/>
        <v>8335</v>
      </c>
      <c r="K31">
        <v>6</v>
      </c>
      <c r="L31" s="14">
        <f>SUM(K$27:K31)/$K$26</f>
        <v>0.16129032258064516</v>
      </c>
      <c r="N31" s="5">
        <f t="shared" si="5"/>
        <v>2800</v>
      </c>
      <c r="O31" s="5">
        <f t="shared" si="3"/>
        <v>2899.9</v>
      </c>
      <c r="P31" s="4" t="str">
        <f t="shared" si="4"/>
        <v>2800..2900</v>
      </c>
      <c r="Q31">
        <f>COUNTIFS(Table4[Delay ms],"&gt;="&amp;$N31,Table4[Delay ms],"&lt;"&amp;$O31)</f>
        <v>1</v>
      </c>
      <c r="R31">
        <f>COUNTIFS(Table2[Delay ms],"&gt;="&amp;$N31,Table2[Delay ms],"&lt;"&amp;$O31)</f>
        <v>0</v>
      </c>
      <c r="S31">
        <f>COUNTIFS(Table1[Delay ms],"&gt;="&amp;$N31,Table1[Delay ms],"&lt;"&amp;$O31)</f>
        <v>0</v>
      </c>
      <c r="V31" s="6">
        <f t="shared" si="6"/>
        <v>37.837837837837846</v>
      </c>
    </row>
    <row r="32" spans="1:22" x14ac:dyDescent="0.25">
      <c r="A32" s="4">
        <v>10.366</v>
      </c>
      <c r="B32" s="1">
        <f t="shared" si="1"/>
        <v>10366</v>
      </c>
      <c r="H32" s="4">
        <v>8.9329999999999998</v>
      </c>
      <c r="I32" s="1">
        <f t="shared" si="2"/>
        <v>8933</v>
      </c>
      <c r="K32">
        <v>11</v>
      </c>
      <c r="L32" s="14">
        <f>SUM(K$27:K32)/$K$26</f>
        <v>0.2119815668202765</v>
      </c>
      <c r="N32" s="5">
        <f t="shared" si="5"/>
        <v>2900</v>
      </c>
      <c r="O32" s="5">
        <f t="shared" si="3"/>
        <v>2999.9</v>
      </c>
      <c r="P32" s="4" t="str">
        <f t="shared" si="4"/>
        <v>2900..3000</v>
      </c>
      <c r="Q32">
        <f>COUNTIFS(Table4[Delay ms],"&gt;="&amp;$N32,Table4[Delay ms],"&lt;"&amp;$O32)</f>
        <v>2</v>
      </c>
      <c r="R32">
        <f>COUNTIFS(Table2[Delay ms],"&gt;="&amp;$N32,Table2[Delay ms],"&lt;"&amp;$O32)</f>
        <v>0</v>
      </c>
      <c r="S32">
        <f>COUNTIFS(Table1[Delay ms],"&gt;="&amp;$N32,Table1[Delay ms],"&lt;"&amp;$O32)</f>
        <v>0</v>
      </c>
      <c r="V32" s="6">
        <f t="shared" si="6"/>
        <v>39.1891891891892</v>
      </c>
    </row>
    <row r="33" spans="1:22" x14ac:dyDescent="0.25">
      <c r="A33" s="4">
        <v>8.51</v>
      </c>
      <c r="B33" s="1">
        <f t="shared" si="1"/>
        <v>8510</v>
      </c>
      <c r="H33" s="4">
        <v>6.2640000000000002</v>
      </c>
      <c r="I33" s="1">
        <f t="shared" si="2"/>
        <v>6264</v>
      </c>
      <c r="K33">
        <v>3</v>
      </c>
      <c r="L33" s="14">
        <f>SUM(K$27:K33)/$K$26</f>
        <v>0.22580645161290322</v>
      </c>
      <c r="N33" s="5">
        <f t="shared" si="5"/>
        <v>3000</v>
      </c>
      <c r="O33" s="5">
        <f t="shared" si="3"/>
        <v>3099.9</v>
      </c>
      <c r="P33" s="4" t="str">
        <f t="shared" si="4"/>
        <v>3000..3100</v>
      </c>
      <c r="Q33">
        <f>COUNTIFS(Table4[Delay ms],"&gt;="&amp;$N33,Table4[Delay ms],"&lt;"&amp;$O33)</f>
        <v>0</v>
      </c>
      <c r="R33">
        <f>COUNTIFS(Table2[Delay ms],"&gt;="&amp;$N33,Table2[Delay ms],"&lt;"&amp;$O33)</f>
        <v>0</v>
      </c>
      <c r="S33">
        <f>COUNTIFS(Table1[Delay ms],"&gt;="&amp;$N33,Table1[Delay ms],"&lt;"&amp;$O33)</f>
        <v>0</v>
      </c>
      <c r="V33" s="6">
        <f t="shared" si="6"/>
        <v>40.540540540540555</v>
      </c>
    </row>
    <row r="34" spans="1:22" x14ac:dyDescent="0.25">
      <c r="A34" s="4">
        <v>2.0779999999999998</v>
      </c>
      <c r="B34" s="1">
        <f t="shared" si="1"/>
        <v>2078</v>
      </c>
      <c r="H34" s="4">
        <v>9.5069999999999997</v>
      </c>
      <c r="I34" s="1">
        <f t="shared" si="2"/>
        <v>9507</v>
      </c>
      <c r="K34">
        <v>11</v>
      </c>
      <c r="L34" s="14">
        <f>SUM(K$27:K34)/$K$26</f>
        <v>0.27649769585253459</v>
      </c>
      <c r="N34" s="5">
        <f t="shared" si="5"/>
        <v>3100</v>
      </c>
      <c r="O34" s="5">
        <f t="shared" si="3"/>
        <v>3199.9</v>
      </c>
      <c r="P34" s="4" t="str">
        <f t="shared" si="4"/>
        <v>3100..3200</v>
      </c>
      <c r="Q34">
        <f>COUNTIFS(Table4[Delay ms],"&gt;="&amp;$N34,Table4[Delay ms],"&lt;"&amp;$O34)</f>
        <v>1</v>
      </c>
      <c r="R34">
        <f>COUNTIFS(Table2[Delay ms],"&gt;="&amp;$N34,Table2[Delay ms],"&lt;"&amp;$O34)</f>
        <v>0</v>
      </c>
      <c r="S34">
        <f>COUNTIFS(Table1[Delay ms],"&gt;="&amp;$N34,Table1[Delay ms],"&lt;"&amp;$O34)</f>
        <v>0</v>
      </c>
      <c r="V34" s="6">
        <f t="shared" si="6"/>
        <v>41.891891891891909</v>
      </c>
    </row>
    <row r="35" spans="1:22" x14ac:dyDescent="0.25">
      <c r="A35" s="4">
        <v>6.407</v>
      </c>
      <c r="B35" s="1">
        <f t="shared" si="1"/>
        <v>6407</v>
      </c>
      <c r="H35" s="4">
        <v>10.661</v>
      </c>
      <c r="I35" s="1">
        <f t="shared" si="2"/>
        <v>10661</v>
      </c>
      <c r="K35">
        <v>13</v>
      </c>
      <c r="L35" s="14">
        <f>SUM(K$27:K35)/$K$26</f>
        <v>0.33640552995391704</v>
      </c>
      <c r="N35" s="5">
        <f t="shared" si="5"/>
        <v>3200</v>
      </c>
      <c r="O35" s="5">
        <f t="shared" si="3"/>
        <v>3299.9</v>
      </c>
      <c r="P35" s="4" t="str">
        <f t="shared" si="4"/>
        <v>3200..3300</v>
      </c>
      <c r="Q35">
        <f>COUNTIFS(Table4[Delay ms],"&gt;="&amp;$N35,Table4[Delay ms],"&lt;"&amp;$O35)</f>
        <v>0</v>
      </c>
      <c r="R35">
        <f>COUNTIFS(Table2[Delay ms],"&gt;="&amp;$N35,Table2[Delay ms],"&lt;"&amp;$O35)</f>
        <v>0</v>
      </c>
      <c r="S35">
        <f>COUNTIFS(Table1[Delay ms],"&gt;="&amp;$N35,Table1[Delay ms],"&lt;"&amp;$O35)</f>
        <v>0</v>
      </c>
      <c r="V35" s="6">
        <f t="shared" si="6"/>
        <v>43.243243243243263</v>
      </c>
    </row>
    <row r="36" spans="1:22" x14ac:dyDescent="0.25">
      <c r="A36" s="4">
        <v>9.8209999999999997</v>
      </c>
      <c r="B36" s="1">
        <f t="shared" si="1"/>
        <v>9821</v>
      </c>
      <c r="H36" s="4">
        <v>5.13</v>
      </c>
      <c r="I36" s="1">
        <f t="shared" si="2"/>
        <v>5130</v>
      </c>
      <c r="K36">
        <v>12</v>
      </c>
      <c r="L36" s="14">
        <f>SUM(K$27:K36)/$K$26</f>
        <v>0.39170506912442399</v>
      </c>
      <c r="N36" s="5">
        <f t="shared" si="5"/>
        <v>3300</v>
      </c>
      <c r="O36" s="5">
        <f t="shared" si="3"/>
        <v>3399.9</v>
      </c>
      <c r="P36" s="4" t="str">
        <f t="shared" si="4"/>
        <v>3300..3400</v>
      </c>
      <c r="Q36">
        <f>COUNTIFS(Table4[Delay ms],"&gt;="&amp;$N36,Table4[Delay ms],"&lt;"&amp;$O36)</f>
        <v>1</v>
      </c>
      <c r="R36">
        <f>COUNTIFS(Table2[Delay ms],"&gt;="&amp;$N36,Table2[Delay ms],"&lt;"&amp;$O36)</f>
        <v>0</v>
      </c>
      <c r="S36">
        <f>COUNTIFS(Table1[Delay ms],"&gt;="&amp;$N36,Table1[Delay ms],"&lt;"&amp;$O36)</f>
        <v>0</v>
      </c>
      <c r="V36" s="6">
        <f t="shared" si="6"/>
        <v>44.594594594594618</v>
      </c>
    </row>
    <row r="37" spans="1:22" x14ac:dyDescent="0.25">
      <c r="H37" s="4">
        <v>4.798</v>
      </c>
      <c r="I37" s="1">
        <f t="shared" si="2"/>
        <v>4798</v>
      </c>
      <c r="K37">
        <v>15</v>
      </c>
      <c r="L37" s="14">
        <f>SUM(K$27:K37)/$K$26</f>
        <v>0.46082949308755761</v>
      </c>
      <c r="N37" s="5">
        <f t="shared" si="5"/>
        <v>3400</v>
      </c>
      <c r="O37" s="5">
        <f t="shared" si="3"/>
        <v>3499.9</v>
      </c>
      <c r="P37" s="4" t="str">
        <f t="shared" si="4"/>
        <v>3400..3500</v>
      </c>
      <c r="Q37">
        <f>COUNTIFS(Table4[Delay ms],"&gt;="&amp;$N37,Table4[Delay ms],"&lt;"&amp;$O37)</f>
        <v>1</v>
      </c>
      <c r="R37">
        <f>COUNTIFS(Table2[Delay ms],"&gt;="&amp;$N37,Table2[Delay ms],"&lt;"&amp;$O37)</f>
        <v>0</v>
      </c>
      <c r="S37">
        <f>COUNTIFS(Table1[Delay ms],"&gt;="&amp;$N37,Table1[Delay ms],"&lt;"&amp;$O37)</f>
        <v>0</v>
      </c>
      <c r="V37" s="6">
        <f t="shared" si="6"/>
        <v>45.945945945945972</v>
      </c>
    </row>
    <row r="38" spans="1:22" x14ac:dyDescent="0.25">
      <c r="H38" s="4">
        <v>4.3769999999999998</v>
      </c>
      <c r="I38" s="1">
        <f t="shared" si="2"/>
        <v>4377</v>
      </c>
      <c r="K38">
        <v>11</v>
      </c>
      <c r="L38" s="14">
        <f>SUM(K$27:K38)/$K$26</f>
        <v>0.51152073732718895</v>
      </c>
      <c r="N38" s="5">
        <f t="shared" si="5"/>
        <v>3500</v>
      </c>
      <c r="O38" s="5">
        <f t="shared" si="3"/>
        <v>3599.9</v>
      </c>
      <c r="P38" s="4" t="str">
        <f t="shared" si="4"/>
        <v>3500..3600</v>
      </c>
      <c r="Q38">
        <f>COUNTIFS(Table4[Delay ms],"&gt;="&amp;$N38,Table4[Delay ms],"&lt;"&amp;$O38)</f>
        <v>1</v>
      </c>
      <c r="R38">
        <f>COUNTIFS(Table2[Delay ms],"&gt;="&amp;$N38,Table2[Delay ms],"&lt;"&amp;$O38)</f>
        <v>0</v>
      </c>
      <c r="S38">
        <f>COUNTIFS(Table1[Delay ms],"&gt;="&amp;$N38,Table1[Delay ms],"&lt;"&amp;$O38)</f>
        <v>0</v>
      </c>
      <c r="V38" s="6">
        <f t="shared" si="6"/>
        <v>47.297297297297327</v>
      </c>
    </row>
    <row r="39" spans="1:22" x14ac:dyDescent="0.25">
      <c r="H39" s="4">
        <v>7.94</v>
      </c>
      <c r="I39" s="1">
        <f t="shared" si="2"/>
        <v>7940</v>
      </c>
      <c r="K39">
        <v>10</v>
      </c>
      <c r="L39" s="14">
        <f>SUM(K$27:K39)/$K$26</f>
        <v>0.55760368663594473</v>
      </c>
      <c r="N39" s="5">
        <f t="shared" si="5"/>
        <v>3600</v>
      </c>
      <c r="O39" s="5">
        <f t="shared" si="3"/>
        <v>3699.9</v>
      </c>
      <c r="P39" s="4" t="str">
        <f t="shared" si="4"/>
        <v>3600..3700</v>
      </c>
      <c r="Q39">
        <f>COUNTIFS(Table4[Delay ms],"&gt;="&amp;$N39,Table4[Delay ms],"&lt;"&amp;$O39)</f>
        <v>3</v>
      </c>
      <c r="R39">
        <f>COUNTIFS(Table2[Delay ms],"&gt;="&amp;$N39,Table2[Delay ms],"&lt;"&amp;$O39)</f>
        <v>0</v>
      </c>
      <c r="S39">
        <f>COUNTIFS(Table1[Delay ms],"&gt;="&amp;$N39,Table1[Delay ms],"&lt;"&amp;$O39)</f>
        <v>0</v>
      </c>
      <c r="V39" s="6">
        <f t="shared" si="6"/>
        <v>48.648648648648681</v>
      </c>
    </row>
    <row r="40" spans="1:22" x14ac:dyDescent="0.25">
      <c r="H40" s="4">
        <v>5.8390000000000004</v>
      </c>
      <c r="I40" s="1">
        <f t="shared" si="2"/>
        <v>5839</v>
      </c>
      <c r="K40">
        <v>11</v>
      </c>
      <c r="L40" s="14">
        <f>SUM(K$27:K40)/$K$26</f>
        <v>0.60829493087557607</v>
      </c>
      <c r="N40" s="5">
        <f t="shared" si="5"/>
        <v>3700</v>
      </c>
      <c r="O40" s="5">
        <f t="shared" si="3"/>
        <v>3799.9</v>
      </c>
      <c r="P40" s="4" t="str">
        <f t="shared" si="4"/>
        <v>3700..3800</v>
      </c>
      <c r="Q40">
        <f>COUNTIFS(Table4[Delay ms],"&gt;="&amp;$N40,Table4[Delay ms],"&lt;"&amp;$O40)</f>
        <v>1</v>
      </c>
      <c r="R40">
        <f>COUNTIFS(Table2[Delay ms],"&gt;="&amp;$N40,Table2[Delay ms],"&lt;"&amp;$O40)</f>
        <v>0</v>
      </c>
      <c r="S40">
        <f>COUNTIFS(Table1[Delay ms],"&gt;="&amp;$N40,Table1[Delay ms],"&lt;"&amp;$O40)</f>
        <v>0</v>
      </c>
      <c r="V40" s="6">
        <f t="shared" si="6"/>
        <v>50.000000000000036</v>
      </c>
    </row>
    <row r="41" spans="1:22" x14ac:dyDescent="0.25">
      <c r="H41" s="4">
        <v>5.1859999999999999</v>
      </c>
      <c r="I41" s="1">
        <f t="shared" si="2"/>
        <v>5186</v>
      </c>
      <c r="K41">
        <v>13</v>
      </c>
      <c r="L41" s="14">
        <f>SUM(K$27:K41)/$K$26</f>
        <v>0.66820276497695852</v>
      </c>
      <c r="N41" s="5">
        <f t="shared" si="5"/>
        <v>3800</v>
      </c>
      <c r="O41" s="5">
        <f t="shared" si="3"/>
        <v>3899.9</v>
      </c>
      <c r="P41" s="4" t="str">
        <f t="shared" si="4"/>
        <v>3800..3900</v>
      </c>
      <c r="Q41">
        <f>COUNTIFS(Table4[Delay ms],"&gt;="&amp;$N41,Table4[Delay ms],"&lt;"&amp;$O41)</f>
        <v>3</v>
      </c>
      <c r="R41">
        <f>COUNTIFS(Table2[Delay ms],"&gt;="&amp;$N41,Table2[Delay ms],"&lt;"&amp;$O41)</f>
        <v>0</v>
      </c>
      <c r="S41">
        <f>COUNTIFS(Table1[Delay ms],"&gt;="&amp;$N41,Table1[Delay ms],"&lt;"&amp;$O41)</f>
        <v>0</v>
      </c>
      <c r="V41" s="6">
        <f t="shared" si="6"/>
        <v>51.35135135135139</v>
      </c>
    </row>
    <row r="42" spans="1:22" x14ac:dyDescent="0.25">
      <c r="H42" s="4">
        <v>1.546</v>
      </c>
      <c r="I42" s="1">
        <f t="shared" si="2"/>
        <v>1546</v>
      </c>
      <c r="K42">
        <v>11</v>
      </c>
      <c r="L42" s="14">
        <f>SUM(K$27:K42)/$K$26</f>
        <v>0.71889400921658986</v>
      </c>
      <c r="N42" s="5">
        <f t="shared" si="5"/>
        <v>3900</v>
      </c>
      <c r="O42" s="5">
        <f t="shared" si="3"/>
        <v>3999.9</v>
      </c>
      <c r="P42" s="4" t="str">
        <f t="shared" si="4"/>
        <v>3900..4000</v>
      </c>
      <c r="Q42">
        <f>COUNTIFS(Table4[Delay ms],"&gt;="&amp;$N42,Table4[Delay ms],"&lt;"&amp;$O42)</f>
        <v>3</v>
      </c>
      <c r="R42">
        <f>COUNTIFS(Table2[Delay ms],"&gt;="&amp;$N42,Table2[Delay ms],"&lt;"&amp;$O42)</f>
        <v>0</v>
      </c>
      <c r="S42">
        <f>COUNTIFS(Table1[Delay ms],"&gt;="&amp;$N42,Table1[Delay ms],"&lt;"&amp;$O42)</f>
        <v>0</v>
      </c>
      <c r="V42" s="6">
        <f t="shared" si="6"/>
        <v>52.702702702702744</v>
      </c>
    </row>
    <row r="43" spans="1:22" x14ac:dyDescent="0.25">
      <c r="H43" s="4">
        <v>2.6230000000000002</v>
      </c>
      <c r="I43" s="1">
        <f t="shared" si="2"/>
        <v>2623</v>
      </c>
      <c r="K43">
        <v>12</v>
      </c>
      <c r="L43" s="14">
        <f>SUM(K$27:K43)/$K$26</f>
        <v>0.77419354838709675</v>
      </c>
      <c r="N43" s="5">
        <f t="shared" si="5"/>
        <v>4000</v>
      </c>
      <c r="O43" s="5">
        <f t="shared" si="3"/>
        <v>4099.8999999999996</v>
      </c>
      <c r="P43" s="4" t="str">
        <f t="shared" si="4"/>
        <v>4000..4100</v>
      </c>
      <c r="Q43">
        <f>COUNTIFS(Table4[Delay ms],"&gt;="&amp;$N43,Table4[Delay ms],"&lt;"&amp;$O43)</f>
        <v>3</v>
      </c>
      <c r="R43">
        <f>COUNTIFS(Table2[Delay ms],"&gt;="&amp;$N43,Table2[Delay ms],"&lt;"&amp;$O43)</f>
        <v>0</v>
      </c>
      <c r="S43">
        <f>COUNTIFS(Table1[Delay ms],"&gt;="&amp;$N43,Table1[Delay ms],"&lt;"&amp;$O43)</f>
        <v>0</v>
      </c>
      <c r="V43" s="6">
        <f t="shared" si="6"/>
        <v>54.054054054054099</v>
      </c>
    </row>
    <row r="44" spans="1:22" x14ac:dyDescent="0.25">
      <c r="H44" s="4">
        <v>1.4390000000000001</v>
      </c>
      <c r="I44" s="1">
        <f t="shared" si="2"/>
        <v>1439</v>
      </c>
      <c r="K44">
        <v>14</v>
      </c>
      <c r="L44" s="14">
        <f>SUM(K$27:K44)/$K$26</f>
        <v>0.83870967741935487</v>
      </c>
      <c r="N44" s="5">
        <f t="shared" si="5"/>
        <v>4100</v>
      </c>
      <c r="O44" s="5">
        <f t="shared" si="3"/>
        <v>4199.8999999999996</v>
      </c>
      <c r="P44" s="4" t="str">
        <f t="shared" si="4"/>
        <v>4100..4200</v>
      </c>
      <c r="Q44">
        <f>COUNTIFS(Table4[Delay ms],"&gt;="&amp;$N44,Table4[Delay ms],"&lt;"&amp;$O44)</f>
        <v>1</v>
      </c>
      <c r="R44">
        <f>COUNTIFS(Table2[Delay ms],"&gt;="&amp;$N44,Table2[Delay ms],"&lt;"&amp;$O44)</f>
        <v>0</v>
      </c>
      <c r="S44">
        <f>COUNTIFS(Table1[Delay ms],"&gt;="&amp;$N44,Table1[Delay ms],"&lt;"&amp;$O44)</f>
        <v>0</v>
      </c>
      <c r="V44" s="6">
        <f t="shared" si="6"/>
        <v>55.405405405405453</v>
      </c>
    </row>
    <row r="45" spans="1:22" x14ac:dyDescent="0.25">
      <c r="H45" s="4">
        <v>5.0090000000000003</v>
      </c>
      <c r="I45" s="1">
        <f t="shared" si="2"/>
        <v>5009</v>
      </c>
      <c r="K45">
        <v>10</v>
      </c>
      <c r="L45" s="14">
        <f>SUM(K$27:K45)/$K$26</f>
        <v>0.88479262672811065</v>
      </c>
      <c r="N45" s="5">
        <f t="shared" si="5"/>
        <v>4200</v>
      </c>
      <c r="O45" s="5">
        <f t="shared" si="3"/>
        <v>4299.8999999999996</v>
      </c>
      <c r="P45" s="4" t="str">
        <f t="shared" si="4"/>
        <v>4200..4300</v>
      </c>
      <c r="Q45">
        <f>COUNTIFS(Table4[Delay ms],"&gt;="&amp;$N45,Table4[Delay ms],"&lt;"&amp;$O45)</f>
        <v>2</v>
      </c>
      <c r="R45">
        <f>COUNTIFS(Table2[Delay ms],"&gt;="&amp;$N45,Table2[Delay ms],"&lt;"&amp;$O45)</f>
        <v>0</v>
      </c>
      <c r="S45">
        <f>COUNTIFS(Table1[Delay ms],"&gt;="&amp;$N45,Table1[Delay ms],"&lt;"&amp;$O45)</f>
        <v>0</v>
      </c>
      <c r="V45" s="6">
        <f t="shared" si="6"/>
        <v>56.756756756756808</v>
      </c>
    </row>
    <row r="46" spans="1:22" x14ac:dyDescent="0.25">
      <c r="H46" s="4">
        <v>7.75</v>
      </c>
      <c r="I46" s="1">
        <f t="shared" si="2"/>
        <v>7750</v>
      </c>
      <c r="K46">
        <v>10</v>
      </c>
      <c r="L46" s="14">
        <f>SUM(K$27:K46)/$K$26</f>
        <v>0.93087557603686633</v>
      </c>
      <c r="N46" s="5">
        <f t="shared" si="5"/>
        <v>4300</v>
      </c>
      <c r="O46" s="5">
        <f t="shared" si="3"/>
        <v>4399.8999999999996</v>
      </c>
      <c r="P46" s="4" t="str">
        <f t="shared" si="4"/>
        <v>4300..4400</v>
      </c>
      <c r="Q46">
        <f>COUNTIFS(Table4[Delay ms],"&gt;="&amp;$N46,Table4[Delay ms],"&lt;"&amp;$O46)</f>
        <v>7</v>
      </c>
      <c r="R46">
        <f>COUNTIFS(Table2[Delay ms],"&gt;="&amp;$N46,Table2[Delay ms],"&lt;"&amp;$O46)</f>
        <v>0</v>
      </c>
      <c r="S46">
        <f>COUNTIFS(Table1[Delay ms],"&gt;="&amp;$N46,Table1[Delay ms],"&lt;"&amp;$O46)</f>
        <v>0</v>
      </c>
      <c r="V46" s="6">
        <f t="shared" si="6"/>
        <v>58.108108108108162</v>
      </c>
    </row>
    <row r="47" spans="1:22" x14ac:dyDescent="0.25">
      <c r="H47" s="4">
        <v>5.4260000000000002</v>
      </c>
      <c r="I47" s="1">
        <f t="shared" si="2"/>
        <v>5426</v>
      </c>
      <c r="K47">
        <v>12</v>
      </c>
      <c r="L47" s="14">
        <f>SUM(K$27:K47)/$K$26</f>
        <v>0.98617511520737322</v>
      </c>
      <c r="N47" s="5">
        <f t="shared" si="5"/>
        <v>4400</v>
      </c>
      <c r="O47" s="5">
        <f t="shared" si="3"/>
        <v>4499.8999999999996</v>
      </c>
      <c r="P47" s="4" t="str">
        <f t="shared" si="4"/>
        <v>4400..4500</v>
      </c>
      <c r="Q47">
        <f>COUNTIFS(Table4[Delay ms],"&gt;="&amp;$N47,Table4[Delay ms],"&lt;"&amp;$O47)</f>
        <v>0</v>
      </c>
      <c r="R47">
        <f>COUNTIFS(Table2[Delay ms],"&gt;="&amp;$N47,Table2[Delay ms],"&lt;"&amp;$O47)</f>
        <v>0</v>
      </c>
      <c r="S47">
        <f>COUNTIFS(Table1[Delay ms],"&gt;="&amp;$N47,Table1[Delay ms],"&lt;"&amp;$O47)</f>
        <v>0</v>
      </c>
      <c r="V47" s="6">
        <f t="shared" si="6"/>
        <v>59.459459459459516</v>
      </c>
    </row>
    <row r="48" spans="1:22" x14ac:dyDescent="0.25">
      <c r="H48" s="4">
        <v>9.4730000000000008</v>
      </c>
      <c r="I48" s="1">
        <f t="shared" si="2"/>
        <v>9473</v>
      </c>
      <c r="K48">
        <v>1</v>
      </c>
      <c r="L48" s="14">
        <f>SUM(K$27:K48)/$K$26</f>
        <v>0.99078341013824889</v>
      </c>
      <c r="N48" s="5">
        <f t="shared" si="5"/>
        <v>4500</v>
      </c>
      <c r="O48" s="5">
        <f t="shared" si="3"/>
        <v>4599.8999999999996</v>
      </c>
      <c r="P48" s="4" t="str">
        <f t="shared" si="4"/>
        <v>4500..4600</v>
      </c>
      <c r="Q48">
        <f>COUNTIFS(Table4[Delay ms],"&gt;="&amp;$N48,Table4[Delay ms],"&lt;"&amp;$O48)</f>
        <v>3</v>
      </c>
      <c r="R48">
        <f>COUNTIFS(Table2[Delay ms],"&gt;="&amp;$N48,Table2[Delay ms],"&lt;"&amp;$O48)</f>
        <v>0</v>
      </c>
      <c r="S48">
        <f>COUNTIFS(Table1[Delay ms],"&gt;="&amp;$N48,Table1[Delay ms],"&lt;"&amp;$O48)</f>
        <v>0</v>
      </c>
      <c r="V48" s="6">
        <f t="shared" si="6"/>
        <v>60.810810810810871</v>
      </c>
    </row>
    <row r="49" spans="8:22" x14ac:dyDescent="0.25">
      <c r="H49" s="4">
        <v>7.2539999999999996</v>
      </c>
      <c r="I49" s="1">
        <f t="shared" si="2"/>
        <v>7254</v>
      </c>
      <c r="K49">
        <v>2</v>
      </c>
      <c r="L49" s="11">
        <f>SUM(K$27:K49)/$K$26</f>
        <v>1</v>
      </c>
      <c r="N49" s="5">
        <f t="shared" si="5"/>
        <v>4600</v>
      </c>
      <c r="O49" s="5">
        <f t="shared" si="3"/>
        <v>4699.8999999999996</v>
      </c>
      <c r="P49" s="4" t="str">
        <f t="shared" si="4"/>
        <v>4600..4700</v>
      </c>
      <c r="Q49">
        <f>COUNTIFS(Table4[Delay ms],"&gt;="&amp;$N49,Table4[Delay ms],"&lt;"&amp;$O49)</f>
        <v>3</v>
      </c>
      <c r="R49">
        <f>COUNTIFS(Table2[Delay ms],"&gt;="&amp;$N49,Table2[Delay ms],"&lt;"&amp;$O49)</f>
        <v>0</v>
      </c>
      <c r="S49">
        <f>COUNTIFS(Table1[Delay ms],"&gt;="&amp;$N49,Table1[Delay ms],"&lt;"&amp;$O49)</f>
        <v>0</v>
      </c>
      <c r="V49" s="6">
        <f t="shared" si="6"/>
        <v>62.162162162162225</v>
      </c>
    </row>
    <row r="50" spans="8:22" x14ac:dyDescent="0.25">
      <c r="H50" s="4">
        <v>8.3369999999999997</v>
      </c>
      <c r="I50" s="1">
        <f t="shared" si="2"/>
        <v>8337</v>
      </c>
      <c r="N50" s="5">
        <f t="shared" si="5"/>
        <v>4700</v>
      </c>
      <c r="O50" s="5">
        <f t="shared" si="3"/>
        <v>4799.8999999999996</v>
      </c>
      <c r="P50" s="4" t="str">
        <f t="shared" si="4"/>
        <v>4700..4800</v>
      </c>
      <c r="Q50">
        <f>COUNTIFS(Table4[Delay ms],"&gt;="&amp;$N50,Table4[Delay ms],"&lt;"&amp;$O50)</f>
        <v>3</v>
      </c>
      <c r="R50">
        <f>COUNTIFS(Table2[Delay ms],"&gt;="&amp;$N50,Table2[Delay ms],"&lt;"&amp;$O50)</f>
        <v>0</v>
      </c>
      <c r="S50">
        <f>COUNTIFS(Table1[Delay ms],"&gt;="&amp;$N50,Table1[Delay ms],"&lt;"&amp;$O50)</f>
        <v>0</v>
      </c>
      <c r="V50" s="6">
        <f t="shared" si="6"/>
        <v>63.51351351351358</v>
      </c>
    </row>
    <row r="51" spans="8:22" x14ac:dyDescent="0.25">
      <c r="H51" s="4">
        <v>5.95</v>
      </c>
      <c r="I51" s="1">
        <f t="shared" si="2"/>
        <v>5950</v>
      </c>
      <c r="N51" s="5">
        <f t="shared" si="5"/>
        <v>4800</v>
      </c>
      <c r="O51" s="5">
        <f t="shared" si="3"/>
        <v>4899.8999999999996</v>
      </c>
      <c r="P51" s="4" t="str">
        <f t="shared" si="4"/>
        <v>4800..4900</v>
      </c>
      <c r="Q51">
        <f>COUNTIFS(Table4[Delay ms],"&gt;="&amp;$N51,Table4[Delay ms],"&lt;"&amp;$O51)</f>
        <v>1</v>
      </c>
      <c r="R51">
        <f>COUNTIFS(Table2[Delay ms],"&gt;="&amp;$N51,Table2[Delay ms],"&lt;"&amp;$O51)</f>
        <v>0</v>
      </c>
      <c r="S51">
        <f>COUNTIFS(Table1[Delay ms],"&gt;="&amp;$N51,Table1[Delay ms],"&lt;"&amp;$O51)</f>
        <v>0</v>
      </c>
      <c r="V51" s="6">
        <f t="shared" si="6"/>
        <v>64.864864864864927</v>
      </c>
    </row>
    <row r="52" spans="8:22" x14ac:dyDescent="0.25">
      <c r="H52" s="4">
        <v>9.4930000000000003</v>
      </c>
      <c r="I52" s="1">
        <f t="shared" si="2"/>
        <v>9493</v>
      </c>
      <c r="N52" s="5">
        <f t="shared" si="5"/>
        <v>4900</v>
      </c>
      <c r="O52" s="5">
        <f t="shared" si="3"/>
        <v>4999.8999999999996</v>
      </c>
      <c r="P52" s="4" t="str">
        <f t="shared" si="4"/>
        <v>4900..5000</v>
      </c>
      <c r="Q52">
        <f>COUNTIFS(Table4[Delay ms],"&gt;="&amp;$N52,Table4[Delay ms],"&lt;"&amp;$O52)</f>
        <v>2</v>
      </c>
      <c r="R52">
        <f>COUNTIFS(Table2[Delay ms],"&gt;="&amp;$N52,Table2[Delay ms],"&lt;"&amp;$O52)</f>
        <v>0</v>
      </c>
      <c r="S52">
        <f>COUNTIFS(Table1[Delay ms],"&gt;="&amp;$N52,Table1[Delay ms],"&lt;"&amp;$O52)</f>
        <v>0</v>
      </c>
      <c r="V52" s="6">
        <f t="shared" si="6"/>
        <v>66.216216216216282</v>
      </c>
    </row>
    <row r="53" spans="8:22" x14ac:dyDescent="0.25">
      <c r="H53" s="4">
        <v>9.2650000000000006</v>
      </c>
      <c r="I53" s="1">
        <f t="shared" si="2"/>
        <v>9265</v>
      </c>
      <c r="N53" s="5">
        <f t="shared" si="5"/>
        <v>5000</v>
      </c>
      <c r="O53" s="5">
        <f t="shared" si="3"/>
        <v>5099.8999999999996</v>
      </c>
      <c r="P53" s="4" t="str">
        <f t="shared" si="4"/>
        <v>5000..5100</v>
      </c>
      <c r="Q53">
        <f>COUNTIFS(Table4[Delay ms],"&gt;="&amp;$N53,Table4[Delay ms],"&lt;"&amp;$O53)</f>
        <v>4</v>
      </c>
      <c r="R53">
        <f>COUNTIFS(Table2[Delay ms],"&gt;="&amp;$N53,Table2[Delay ms],"&lt;"&amp;$O53)</f>
        <v>0</v>
      </c>
      <c r="S53">
        <f>COUNTIFS(Table1[Delay ms],"&gt;="&amp;$N53,Table1[Delay ms],"&lt;"&amp;$O53)</f>
        <v>0</v>
      </c>
      <c r="V53" s="6">
        <f t="shared" si="6"/>
        <v>67.567567567567636</v>
      </c>
    </row>
    <row r="54" spans="8:22" x14ac:dyDescent="0.25">
      <c r="H54" s="4">
        <v>10.025</v>
      </c>
      <c r="I54" s="1">
        <f t="shared" si="2"/>
        <v>10025</v>
      </c>
      <c r="N54" s="5">
        <f t="shared" si="5"/>
        <v>5100</v>
      </c>
      <c r="O54" s="5">
        <f t="shared" si="3"/>
        <v>5199.8999999999996</v>
      </c>
      <c r="P54" s="4" t="str">
        <f t="shared" si="4"/>
        <v>5100..5200</v>
      </c>
      <c r="Q54">
        <f>COUNTIFS(Table4[Delay ms],"&gt;="&amp;$N54,Table4[Delay ms],"&lt;"&amp;$O54)</f>
        <v>4</v>
      </c>
      <c r="R54">
        <f>COUNTIFS(Table2[Delay ms],"&gt;="&amp;$N54,Table2[Delay ms],"&lt;"&amp;$O54)</f>
        <v>0</v>
      </c>
      <c r="S54">
        <f>COUNTIFS(Table1[Delay ms],"&gt;="&amp;$N54,Table1[Delay ms],"&lt;"&amp;$O54)</f>
        <v>0</v>
      </c>
      <c r="V54" s="6">
        <f t="shared" si="6"/>
        <v>68.91891891891899</v>
      </c>
    </row>
    <row r="55" spans="8:22" x14ac:dyDescent="0.25">
      <c r="H55" s="4">
        <v>6.4820000000000002</v>
      </c>
      <c r="I55" s="1">
        <f t="shared" si="2"/>
        <v>6482</v>
      </c>
      <c r="N55" s="5">
        <f t="shared" si="5"/>
        <v>5200</v>
      </c>
      <c r="O55" s="5">
        <f t="shared" si="3"/>
        <v>5299.9</v>
      </c>
      <c r="P55" s="4" t="str">
        <f t="shared" si="4"/>
        <v>5200..5300</v>
      </c>
      <c r="Q55">
        <f>COUNTIFS(Table4[Delay ms],"&gt;="&amp;$N55,Table4[Delay ms],"&lt;"&amp;$O55)</f>
        <v>2</v>
      </c>
      <c r="R55">
        <f>COUNTIFS(Table2[Delay ms],"&gt;="&amp;$N55,Table2[Delay ms],"&lt;"&amp;$O55)</f>
        <v>0</v>
      </c>
      <c r="S55">
        <f>COUNTIFS(Table1[Delay ms],"&gt;="&amp;$N55,Table1[Delay ms],"&lt;"&amp;$O55)</f>
        <v>0</v>
      </c>
      <c r="V55" s="6">
        <f t="shared" si="6"/>
        <v>70.270270270270345</v>
      </c>
    </row>
    <row r="56" spans="8:22" x14ac:dyDescent="0.25">
      <c r="H56" s="4">
        <v>6.4640000000000004</v>
      </c>
      <c r="I56" s="1">
        <f t="shared" si="2"/>
        <v>6464</v>
      </c>
      <c r="N56" s="5">
        <f t="shared" si="5"/>
        <v>5300</v>
      </c>
      <c r="O56" s="5">
        <f t="shared" si="3"/>
        <v>5399.9</v>
      </c>
      <c r="P56" s="4" t="str">
        <f t="shared" si="4"/>
        <v>5300..5400</v>
      </c>
      <c r="Q56">
        <f>COUNTIFS(Table4[Delay ms],"&gt;="&amp;$N56,Table4[Delay ms],"&lt;"&amp;$O56)</f>
        <v>3</v>
      </c>
      <c r="R56">
        <f>COUNTIFS(Table2[Delay ms],"&gt;="&amp;$N56,Table2[Delay ms],"&lt;"&amp;$O56)</f>
        <v>0</v>
      </c>
      <c r="S56">
        <f>COUNTIFS(Table1[Delay ms],"&gt;="&amp;$N56,Table1[Delay ms],"&lt;"&amp;$O56)</f>
        <v>0</v>
      </c>
      <c r="V56" s="6">
        <f t="shared" si="6"/>
        <v>71.621621621621699</v>
      </c>
    </row>
    <row r="57" spans="8:22" x14ac:dyDescent="0.25">
      <c r="H57" s="4">
        <v>2.4740000000000002</v>
      </c>
      <c r="I57" s="1">
        <f t="shared" si="2"/>
        <v>2474</v>
      </c>
      <c r="N57" s="5">
        <f t="shared" si="5"/>
        <v>5400</v>
      </c>
      <c r="O57" s="5">
        <f t="shared" si="3"/>
        <v>5499.9</v>
      </c>
      <c r="P57" s="4" t="str">
        <f t="shared" si="4"/>
        <v>5400..5500</v>
      </c>
      <c r="Q57">
        <f>COUNTIFS(Table4[Delay ms],"&gt;="&amp;$N57,Table4[Delay ms],"&lt;"&amp;$O57)</f>
        <v>2</v>
      </c>
      <c r="R57">
        <f>COUNTIFS(Table2[Delay ms],"&gt;="&amp;$N57,Table2[Delay ms],"&lt;"&amp;$O57)</f>
        <v>0</v>
      </c>
      <c r="S57">
        <f>COUNTIFS(Table1[Delay ms],"&gt;="&amp;$N57,Table1[Delay ms],"&lt;"&amp;$O57)</f>
        <v>0</v>
      </c>
      <c r="V57" s="6">
        <f t="shared" si="6"/>
        <v>72.972972972973054</v>
      </c>
    </row>
    <row r="58" spans="8:22" x14ac:dyDescent="0.25">
      <c r="H58" s="4">
        <v>4.07</v>
      </c>
      <c r="I58" s="1">
        <f t="shared" si="2"/>
        <v>4070.0000000000005</v>
      </c>
      <c r="N58" s="5">
        <f t="shared" si="5"/>
        <v>5500</v>
      </c>
      <c r="O58" s="5">
        <f t="shared" si="3"/>
        <v>5599.9</v>
      </c>
      <c r="P58" s="4" t="str">
        <f t="shared" si="4"/>
        <v>5500..5600</v>
      </c>
      <c r="Q58">
        <f>COUNTIFS(Table4[Delay ms],"&gt;="&amp;$N58,Table4[Delay ms],"&lt;"&amp;$O58)</f>
        <v>1</v>
      </c>
      <c r="R58">
        <f>COUNTIFS(Table2[Delay ms],"&gt;="&amp;$N58,Table2[Delay ms],"&lt;"&amp;$O58)</f>
        <v>0</v>
      </c>
      <c r="S58">
        <f>COUNTIFS(Table1[Delay ms],"&gt;="&amp;$N58,Table1[Delay ms],"&lt;"&amp;$O58)</f>
        <v>0</v>
      </c>
      <c r="V58" s="6">
        <f t="shared" si="6"/>
        <v>74.324324324324408</v>
      </c>
    </row>
    <row r="59" spans="8:22" x14ac:dyDescent="0.25">
      <c r="H59" s="4">
        <v>8.952</v>
      </c>
      <c r="I59" s="1">
        <f t="shared" si="2"/>
        <v>8952</v>
      </c>
      <c r="N59" s="5">
        <f t="shared" si="5"/>
        <v>5600</v>
      </c>
      <c r="O59" s="5">
        <f t="shared" si="3"/>
        <v>5699.9</v>
      </c>
      <c r="P59" s="4" t="str">
        <f t="shared" si="4"/>
        <v>5600..5700</v>
      </c>
      <c r="Q59">
        <f>COUNTIFS(Table4[Delay ms],"&gt;="&amp;$N59,Table4[Delay ms],"&lt;"&amp;$O59)</f>
        <v>3</v>
      </c>
      <c r="R59">
        <f>COUNTIFS(Table2[Delay ms],"&gt;="&amp;$N59,Table2[Delay ms],"&lt;"&amp;$O59)</f>
        <v>0</v>
      </c>
      <c r="S59">
        <f>COUNTIFS(Table1[Delay ms],"&gt;="&amp;$N59,Table1[Delay ms],"&lt;"&amp;$O59)</f>
        <v>0</v>
      </c>
      <c r="V59" s="6">
        <f t="shared" si="6"/>
        <v>75.675675675675762</v>
      </c>
    </row>
    <row r="60" spans="8:22" x14ac:dyDescent="0.25">
      <c r="H60" s="4">
        <v>9.8670000000000009</v>
      </c>
      <c r="I60" s="1">
        <f t="shared" si="2"/>
        <v>9867</v>
      </c>
      <c r="N60" s="5">
        <f t="shared" si="5"/>
        <v>5700</v>
      </c>
      <c r="O60" s="5">
        <f t="shared" si="3"/>
        <v>5799.9</v>
      </c>
      <c r="P60" s="4" t="str">
        <f t="shared" si="4"/>
        <v>5700..5800</v>
      </c>
      <c r="Q60">
        <f>COUNTIFS(Table4[Delay ms],"&gt;="&amp;$N60,Table4[Delay ms],"&lt;"&amp;$O60)</f>
        <v>1</v>
      </c>
      <c r="R60">
        <f>COUNTIFS(Table2[Delay ms],"&gt;="&amp;$N60,Table2[Delay ms],"&lt;"&amp;$O60)</f>
        <v>0</v>
      </c>
      <c r="S60">
        <f>COUNTIFS(Table1[Delay ms],"&gt;="&amp;$N60,Table1[Delay ms],"&lt;"&amp;$O60)</f>
        <v>0</v>
      </c>
      <c r="V60" s="6">
        <f t="shared" si="6"/>
        <v>77.027027027027117</v>
      </c>
    </row>
    <row r="61" spans="8:22" x14ac:dyDescent="0.25">
      <c r="H61" s="4">
        <v>8.8610000000000007</v>
      </c>
      <c r="I61" s="1">
        <f t="shared" si="2"/>
        <v>8861</v>
      </c>
      <c r="N61" s="5">
        <f t="shared" si="5"/>
        <v>5800</v>
      </c>
      <c r="O61" s="5">
        <f t="shared" si="3"/>
        <v>5899.9</v>
      </c>
      <c r="P61" s="4" t="str">
        <f t="shared" si="4"/>
        <v>5800..5900</v>
      </c>
      <c r="Q61">
        <f>COUNTIFS(Table4[Delay ms],"&gt;="&amp;$N61,Table4[Delay ms],"&lt;"&amp;$O61)</f>
        <v>5</v>
      </c>
      <c r="R61">
        <f>COUNTIFS(Table2[Delay ms],"&gt;="&amp;$N61,Table2[Delay ms],"&lt;"&amp;$O61)</f>
        <v>0</v>
      </c>
      <c r="S61">
        <f>COUNTIFS(Table1[Delay ms],"&gt;="&amp;$N61,Table1[Delay ms],"&lt;"&amp;$O61)</f>
        <v>0</v>
      </c>
      <c r="V61" s="6">
        <f t="shared" si="6"/>
        <v>78.378378378378471</v>
      </c>
    </row>
    <row r="62" spans="8:22" x14ac:dyDescent="0.25">
      <c r="H62" s="4">
        <v>5.3529999999999998</v>
      </c>
      <c r="I62" s="1">
        <f t="shared" si="2"/>
        <v>5353</v>
      </c>
      <c r="N62" s="5">
        <f t="shared" si="5"/>
        <v>5900</v>
      </c>
      <c r="O62" s="5">
        <f t="shared" si="3"/>
        <v>5999.9</v>
      </c>
      <c r="P62" s="4" t="str">
        <f t="shared" si="4"/>
        <v>5900..6000</v>
      </c>
      <c r="Q62">
        <f>COUNTIFS(Table4[Delay ms],"&gt;="&amp;$N62,Table4[Delay ms],"&lt;"&amp;$O62)</f>
        <v>1</v>
      </c>
      <c r="R62">
        <f>COUNTIFS(Table2[Delay ms],"&gt;="&amp;$N62,Table2[Delay ms],"&lt;"&amp;$O62)</f>
        <v>0</v>
      </c>
      <c r="S62">
        <f>COUNTIFS(Table1[Delay ms],"&gt;="&amp;$N62,Table1[Delay ms],"&lt;"&amp;$O62)</f>
        <v>0</v>
      </c>
      <c r="V62" s="6">
        <f t="shared" si="6"/>
        <v>79.729729729729826</v>
      </c>
    </row>
    <row r="63" spans="8:22" x14ac:dyDescent="0.25">
      <c r="H63" s="4">
        <v>10.398999999999999</v>
      </c>
      <c r="I63" s="1">
        <f t="shared" si="2"/>
        <v>10399</v>
      </c>
      <c r="N63" s="5">
        <f t="shared" si="5"/>
        <v>6000</v>
      </c>
      <c r="O63" s="5">
        <f t="shared" si="3"/>
        <v>6099.9</v>
      </c>
      <c r="P63" s="4" t="str">
        <f t="shared" si="4"/>
        <v>6000..6100</v>
      </c>
      <c r="Q63">
        <f>COUNTIFS(Table4[Delay ms],"&gt;="&amp;$N63,Table4[Delay ms],"&lt;"&amp;$O63)</f>
        <v>2</v>
      </c>
      <c r="R63">
        <f>COUNTIFS(Table2[Delay ms],"&gt;="&amp;$N63,Table2[Delay ms],"&lt;"&amp;$O63)</f>
        <v>0</v>
      </c>
      <c r="S63">
        <f>COUNTIFS(Table1[Delay ms],"&gt;="&amp;$N63,Table1[Delay ms],"&lt;"&amp;$O63)</f>
        <v>0</v>
      </c>
      <c r="V63" s="6">
        <f t="shared" si="6"/>
        <v>81.08108108108118</v>
      </c>
    </row>
    <row r="64" spans="8:22" x14ac:dyDescent="0.25">
      <c r="H64" s="4">
        <v>11.242000000000001</v>
      </c>
      <c r="I64" s="1">
        <f t="shared" si="2"/>
        <v>11242</v>
      </c>
      <c r="N64" s="5">
        <f t="shared" si="5"/>
        <v>6100</v>
      </c>
      <c r="O64" s="5">
        <f t="shared" si="3"/>
        <v>6199.9</v>
      </c>
      <c r="P64" s="4" t="str">
        <f t="shared" si="4"/>
        <v>6100..6200</v>
      </c>
      <c r="Q64">
        <f>COUNTIFS(Table4[Delay ms],"&gt;="&amp;$N64,Table4[Delay ms],"&lt;"&amp;$O64)</f>
        <v>0</v>
      </c>
      <c r="R64">
        <f>COUNTIFS(Table2[Delay ms],"&gt;="&amp;$N64,Table2[Delay ms],"&lt;"&amp;$O64)</f>
        <v>0</v>
      </c>
      <c r="S64">
        <f>COUNTIFS(Table1[Delay ms],"&gt;="&amp;$N64,Table1[Delay ms],"&lt;"&amp;$O64)</f>
        <v>0</v>
      </c>
      <c r="V64" s="6">
        <f t="shared" si="6"/>
        <v>82.432432432432535</v>
      </c>
    </row>
    <row r="65" spans="8:22" x14ac:dyDescent="0.25">
      <c r="H65" s="4">
        <v>3.3170000000000002</v>
      </c>
      <c r="I65" s="1">
        <f t="shared" si="2"/>
        <v>3317</v>
      </c>
      <c r="N65" s="5">
        <f t="shared" si="5"/>
        <v>6200</v>
      </c>
      <c r="O65" s="5">
        <f t="shared" si="3"/>
        <v>6299.9</v>
      </c>
      <c r="P65" s="4" t="str">
        <f t="shared" si="4"/>
        <v>6200..6300</v>
      </c>
      <c r="Q65">
        <f>COUNTIFS(Table4[Delay ms],"&gt;="&amp;$N65,Table4[Delay ms],"&lt;"&amp;$O65)</f>
        <v>5</v>
      </c>
      <c r="R65">
        <f>COUNTIFS(Table2[Delay ms],"&gt;="&amp;$N65,Table2[Delay ms],"&lt;"&amp;$O65)</f>
        <v>0</v>
      </c>
      <c r="S65">
        <f>COUNTIFS(Table1[Delay ms],"&gt;="&amp;$N65,Table1[Delay ms],"&lt;"&amp;$O65)</f>
        <v>0</v>
      </c>
      <c r="V65" s="6">
        <f t="shared" si="6"/>
        <v>83.783783783783889</v>
      </c>
    </row>
    <row r="66" spans="8:22" x14ac:dyDescent="0.25">
      <c r="H66" s="4">
        <v>8.3710000000000004</v>
      </c>
      <c r="I66" s="1">
        <f t="shared" si="2"/>
        <v>8371</v>
      </c>
      <c r="N66" s="5">
        <f t="shared" si="5"/>
        <v>6300</v>
      </c>
      <c r="O66" s="5">
        <f t="shared" si="3"/>
        <v>6399.9</v>
      </c>
      <c r="P66" s="4" t="str">
        <f t="shared" si="4"/>
        <v>6300..6400</v>
      </c>
      <c r="Q66">
        <f>COUNTIFS(Table4[Delay ms],"&gt;="&amp;$N66,Table4[Delay ms],"&lt;"&amp;$O66)</f>
        <v>1</v>
      </c>
      <c r="R66">
        <f>COUNTIFS(Table2[Delay ms],"&gt;="&amp;$N66,Table2[Delay ms],"&lt;"&amp;$O66)</f>
        <v>0</v>
      </c>
      <c r="S66">
        <f>COUNTIFS(Table1[Delay ms],"&gt;="&amp;$N66,Table1[Delay ms],"&lt;"&amp;$O66)</f>
        <v>0</v>
      </c>
      <c r="V66" s="6">
        <f t="shared" si="6"/>
        <v>85.135135135135243</v>
      </c>
    </row>
    <row r="67" spans="8:22" x14ac:dyDescent="0.25">
      <c r="H67" s="4">
        <v>7.3319999999999999</v>
      </c>
      <c r="I67" s="1">
        <f t="shared" ref="I67:I130" si="7">H67*1000</f>
        <v>7332</v>
      </c>
      <c r="N67" s="5">
        <f t="shared" si="5"/>
        <v>6400</v>
      </c>
      <c r="O67" s="5">
        <f t="shared" si="3"/>
        <v>6499.9</v>
      </c>
      <c r="P67" s="4" t="str">
        <f t="shared" si="4"/>
        <v>6400..6500</v>
      </c>
      <c r="Q67">
        <f>COUNTIFS(Table4[Delay ms],"&gt;="&amp;$N67,Table4[Delay ms],"&lt;"&amp;$O67)</f>
        <v>2</v>
      </c>
      <c r="R67">
        <f>COUNTIFS(Table2[Delay ms],"&gt;="&amp;$N67,Table2[Delay ms],"&lt;"&amp;$O67)</f>
        <v>0</v>
      </c>
      <c r="S67">
        <f>COUNTIFS(Table1[Delay ms],"&gt;="&amp;$N67,Table1[Delay ms],"&lt;"&amp;$O67)</f>
        <v>0</v>
      </c>
      <c r="V67" s="6">
        <f t="shared" si="6"/>
        <v>86.486486486486598</v>
      </c>
    </row>
    <row r="68" spans="8:22" x14ac:dyDescent="0.25">
      <c r="H68" s="4">
        <v>8.2319999999999993</v>
      </c>
      <c r="I68" s="1">
        <f t="shared" si="7"/>
        <v>8232</v>
      </c>
      <c r="N68" s="5">
        <f t="shared" si="5"/>
        <v>6500</v>
      </c>
      <c r="O68" s="5">
        <f t="shared" ref="O68:O106" si="8">N68+99.9</f>
        <v>6599.9</v>
      </c>
      <c r="P68" s="4" t="str">
        <f t="shared" ref="P68:P105" si="9">TEXT(N68,"0")&amp;".."&amp;TEXT(N69,"0")</f>
        <v>6500..6600</v>
      </c>
      <c r="Q68">
        <f>COUNTIFS(Table4[Delay ms],"&gt;="&amp;$N68,Table4[Delay ms],"&lt;"&amp;$O68)</f>
        <v>3</v>
      </c>
      <c r="R68">
        <f>COUNTIFS(Table2[Delay ms],"&gt;="&amp;$N68,Table2[Delay ms],"&lt;"&amp;$O68)</f>
        <v>0</v>
      </c>
      <c r="S68">
        <f>COUNTIFS(Table1[Delay ms],"&gt;="&amp;$N68,Table1[Delay ms],"&lt;"&amp;$O68)</f>
        <v>0</v>
      </c>
      <c r="V68" s="6">
        <f t="shared" si="6"/>
        <v>87.837837837837952</v>
      </c>
    </row>
    <row r="69" spans="8:22" x14ac:dyDescent="0.25">
      <c r="H69" s="4">
        <v>1.89</v>
      </c>
      <c r="I69" s="1">
        <f t="shared" si="7"/>
        <v>1890</v>
      </c>
      <c r="N69" s="5">
        <f t="shared" ref="N69:N106" si="10">N68+$O$3+0.1</f>
        <v>6600</v>
      </c>
      <c r="O69" s="5">
        <f t="shared" si="8"/>
        <v>6699.9</v>
      </c>
      <c r="P69" s="4" t="str">
        <f t="shared" si="9"/>
        <v>6600..6700</v>
      </c>
      <c r="Q69">
        <f>COUNTIFS(Table4[Delay ms],"&gt;="&amp;$N69,Table4[Delay ms],"&lt;"&amp;$O69)</f>
        <v>2</v>
      </c>
      <c r="R69">
        <f>COUNTIFS(Table2[Delay ms],"&gt;="&amp;$N69,Table2[Delay ms],"&lt;"&amp;$O69)</f>
        <v>0</v>
      </c>
      <c r="S69">
        <f>COUNTIFS(Table1[Delay ms],"&gt;="&amp;$N69,Table1[Delay ms],"&lt;"&amp;$O69)</f>
        <v>0</v>
      </c>
      <c r="V69" s="6">
        <f t="shared" ref="V69:V76" si="11">V68+($V$77-$V$3)/74</f>
        <v>89.189189189189307</v>
      </c>
    </row>
    <row r="70" spans="8:22" x14ac:dyDescent="0.25">
      <c r="H70" s="4">
        <v>9.8979999999999997</v>
      </c>
      <c r="I70" s="1">
        <f t="shared" si="7"/>
        <v>9898</v>
      </c>
      <c r="N70" s="5">
        <f t="shared" si="10"/>
        <v>6700</v>
      </c>
      <c r="O70" s="5">
        <f t="shared" si="8"/>
        <v>6799.9</v>
      </c>
      <c r="P70" s="4" t="str">
        <f t="shared" si="9"/>
        <v>6700..6800</v>
      </c>
      <c r="Q70">
        <f>COUNTIFS(Table4[Delay ms],"&gt;="&amp;$N70,Table4[Delay ms],"&lt;"&amp;$O70)</f>
        <v>2</v>
      </c>
      <c r="R70">
        <f>COUNTIFS(Table2[Delay ms],"&gt;="&amp;$N70,Table2[Delay ms],"&lt;"&amp;$O70)</f>
        <v>0</v>
      </c>
      <c r="S70">
        <f>COUNTIFS(Table1[Delay ms],"&gt;="&amp;$N70,Table1[Delay ms],"&lt;"&amp;$O70)</f>
        <v>0</v>
      </c>
      <c r="V70" s="6">
        <f t="shared" si="11"/>
        <v>90.540540540540661</v>
      </c>
    </row>
    <row r="71" spans="8:22" x14ac:dyDescent="0.25">
      <c r="H71" s="4">
        <v>8.8719999999999999</v>
      </c>
      <c r="I71" s="1">
        <f t="shared" si="7"/>
        <v>8872</v>
      </c>
      <c r="N71" s="5">
        <f t="shared" si="10"/>
        <v>6800</v>
      </c>
      <c r="O71" s="5">
        <f t="shared" si="8"/>
        <v>6899.9</v>
      </c>
      <c r="P71" s="4" t="str">
        <f t="shared" si="9"/>
        <v>6800..6900</v>
      </c>
      <c r="Q71">
        <f>COUNTIFS(Table4[Delay ms],"&gt;="&amp;$N71,Table4[Delay ms],"&lt;"&amp;$O71)</f>
        <v>2</v>
      </c>
      <c r="R71">
        <f>COUNTIFS(Table2[Delay ms],"&gt;="&amp;$N71,Table2[Delay ms],"&lt;"&amp;$O71)</f>
        <v>0</v>
      </c>
      <c r="S71">
        <f>COUNTIFS(Table1[Delay ms],"&gt;="&amp;$N71,Table1[Delay ms],"&lt;"&amp;$O71)</f>
        <v>0</v>
      </c>
      <c r="V71" s="6">
        <f t="shared" si="11"/>
        <v>91.891891891892016</v>
      </c>
    </row>
    <row r="72" spans="8:22" x14ac:dyDescent="0.25">
      <c r="H72" s="4">
        <v>3.6469999999999998</v>
      </c>
      <c r="I72" s="1">
        <f t="shared" si="7"/>
        <v>3647</v>
      </c>
      <c r="N72" s="5">
        <f t="shared" si="10"/>
        <v>6900</v>
      </c>
      <c r="O72" s="5">
        <f t="shared" si="8"/>
        <v>6999.9</v>
      </c>
      <c r="P72" s="4" t="str">
        <f t="shared" si="9"/>
        <v>6900..7000</v>
      </c>
      <c r="Q72">
        <f>COUNTIFS(Table4[Delay ms],"&gt;="&amp;$N72,Table4[Delay ms],"&lt;"&amp;$O72)</f>
        <v>2</v>
      </c>
      <c r="R72">
        <f>COUNTIFS(Table2[Delay ms],"&gt;="&amp;$N72,Table2[Delay ms],"&lt;"&amp;$O72)</f>
        <v>0</v>
      </c>
      <c r="S72">
        <f>COUNTIFS(Table1[Delay ms],"&gt;="&amp;$N72,Table1[Delay ms],"&lt;"&amp;$O72)</f>
        <v>0</v>
      </c>
      <c r="V72" s="6">
        <f t="shared" si="11"/>
        <v>93.24324324324337</v>
      </c>
    </row>
    <row r="73" spans="8:22" x14ac:dyDescent="0.25">
      <c r="H73" s="4">
        <v>4.335</v>
      </c>
      <c r="I73" s="1">
        <f t="shared" si="7"/>
        <v>4335</v>
      </c>
      <c r="N73" s="5">
        <f t="shared" si="10"/>
        <v>7000</v>
      </c>
      <c r="O73" s="5">
        <f t="shared" si="8"/>
        <v>7099.9</v>
      </c>
      <c r="P73" s="4" t="str">
        <f t="shared" si="9"/>
        <v>7000..7100</v>
      </c>
      <c r="Q73">
        <f>COUNTIFS(Table4[Delay ms],"&gt;="&amp;$N73,Table4[Delay ms],"&lt;"&amp;$O73)</f>
        <v>2</v>
      </c>
      <c r="R73">
        <f>COUNTIFS(Table2[Delay ms],"&gt;="&amp;$N73,Table2[Delay ms],"&lt;"&amp;$O73)</f>
        <v>0</v>
      </c>
      <c r="S73">
        <f>COUNTIFS(Table1[Delay ms],"&gt;="&amp;$N73,Table1[Delay ms],"&lt;"&amp;$O73)</f>
        <v>0</v>
      </c>
      <c r="V73" s="6">
        <f t="shared" si="11"/>
        <v>94.594594594594724</v>
      </c>
    </row>
    <row r="74" spans="8:22" x14ac:dyDescent="0.25">
      <c r="H74" s="4">
        <v>6.8890000000000002</v>
      </c>
      <c r="I74" s="1">
        <f t="shared" si="7"/>
        <v>6889</v>
      </c>
      <c r="N74" s="5">
        <f t="shared" si="10"/>
        <v>7100</v>
      </c>
      <c r="O74" s="5">
        <f t="shared" si="8"/>
        <v>7199.9</v>
      </c>
      <c r="P74" s="4" t="str">
        <f t="shared" si="9"/>
        <v>7100..7200</v>
      </c>
      <c r="Q74">
        <f>COUNTIFS(Table4[Delay ms],"&gt;="&amp;$N74,Table4[Delay ms],"&lt;"&amp;$O74)</f>
        <v>3</v>
      </c>
      <c r="R74">
        <f>COUNTIFS(Table2[Delay ms],"&gt;="&amp;$N74,Table2[Delay ms],"&lt;"&amp;$O74)</f>
        <v>0</v>
      </c>
      <c r="S74">
        <f>COUNTIFS(Table1[Delay ms],"&gt;="&amp;$N74,Table1[Delay ms],"&lt;"&amp;$O74)</f>
        <v>0</v>
      </c>
      <c r="V74" s="6">
        <f t="shared" si="11"/>
        <v>95.945945945946079</v>
      </c>
    </row>
    <row r="75" spans="8:22" x14ac:dyDescent="0.25">
      <c r="H75" s="4">
        <v>8.9819999999999993</v>
      </c>
      <c r="I75" s="1">
        <f t="shared" si="7"/>
        <v>8982</v>
      </c>
      <c r="N75" s="5">
        <f t="shared" si="10"/>
        <v>7200</v>
      </c>
      <c r="O75" s="5">
        <f t="shared" si="8"/>
        <v>7299.9</v>
      </c>
      <c r="P75" s="4" t="str">
        <f t="shared" si="9"/>
        <v>7200..7300</v>
      </c>
      <c r="Q75">
        <f>COUNTIFS(Table4[Delay ms],"&gt;="&amp;$N75,Table4[Delay ms],"&lt;"&amp;$O75)</f>
        <v>6</v>
      </c>
      <c r="R75">
        <f>COUNTIFS(Table2[Delay ms],"&gt;="&amp;$N75,Table2[Delay ms],"&lt;"&amp;$O75)</f>
        <v>0</v>
      </c>
      <c r="S75">
        <f>COUNTIFS(Table1[Delay ms],"&gt;="&amp;$N75,Table1[Delay ms],"&lt;"&amp;$O75)</f>
        <v>0</v>
      </c>
      <c r="V75" s="6">
        <f t="shared" si="11"/>
        <v>97.297297297297433</v>
      </c>
    </row>
    <row r="76" spans="8:22" x14ac:dyDescent="0.25">
      <c r="H76" s="4">
        <v>0.91700000000000004</v>
      </c>
      <c r="I76" s="1">
        <f t="shared" si="7"/>
        <v>917</v>
      </c>
      <c r="N76" s="5">
        <f t="shared" si="10"/>
        <v>7300</v>
      </c>
      <c r="O76" s="5">
        <f t="shared" si="8"/>
        <v>7399.9</v>
      </c>
      <c r="P76" s="4" t="str">
        <f t="shared" si="9"/>
        <v>7300..7400</v>
      </c>
      <c r="Q76">
        <f>COUNTIFS(Table4[Delay ms],"&gt;="&amp;$N76,Table4[Delay ms],"&lt;"&amp;$O76)</f>
        <v>1</v>
      </c>
      <c r="R76">
        <f>COUNTIFS(Table2[Delay ms],"&gt;="&amp;$N76,Table2[Delay ms],"&lt;"&amp;$O76)</f>
        <v>0</v>
      </c>
      <c r="S76">
        <f>COUNTIFS(Table1[Delay ms],"&gt;="&amp;$N76,Table1[Delay ms],"&lt;"&amp;$O76)</f>
        <v>0</v>
      </c>
      <c r="V76" s="6">
        <f t="shared" si="11"/>
        <v>98.648648648648788</v>
      </c>
    </row>
    <row r="77" spans="8:22" x14ac:dyDescent="0.25">
      <c r="H77" s="4">
        <v>5.117</v>
      </c>
      <c r="I77" s="1">
        <f t="shared" si="7"/>
        <v>5117</v>
      </c>
      <c r="N77" s="5">
        <f t="shared" si="10"/>
        <v>7400</v>
      </c>
      <c r="O77" s="5">
        <f t="shared" si="8"/>
        <v>7499.9</v>
      </c>
      <c r="P77" s="4" t="str">
        <f t="shared" si="9"/>
        <v>7400..7500</v>
      </c>
      <c r="Q77">
        <f>COUNTIFS(Table4[Delay ms],"&gt;="&amp;$N77,Table4[Delay ms],"&lt;"&amp;$O77)</f>
        <v>1</v>
      </c>
      <c r="R77">
        <f>COUNTIFS(Table2[Delay ms],"&gt;="&amp;$N77,Table2[Delay ms],"&lt;"&amp;$O77)</f>
        <v>0</v>
      </c>
      <c r="S77">
        <f>COUNTIFS(Table1[Delay ms],"&gt;="&amp;$N77,Table1[Delay ms],"&lt;"&amp;$O77)</f>
        <v>0</v>
      </c>
      <c r="V77" s="6">
        <v>100</v>
      </c>
    </row>
    <row r="78" spans="8:22" x14ac:dyDescent="0.25">
      <c r="H78" s="4">
        <v>4.0110000000000001</v>
      </c>
      <c r="I78" s="1">
        <f t="shared" si="7"/>
        <v>4011</v>
      </c>
      <c r="N78" s="5">
        <f t="shared" si="10"/>
        <v>7500</v>
      </c>
      <c r="O78" s="5">
        <f t="shared" si="8"/>
        <v>7599.9</v>
      </c>
      <c r="P78" s="4" t="str">
        <f t="shared" si="9"/>
        <v>7500..7600</v>
      </c>
      <c r="Q78">
        <f>COUNTIFS(Table4[Delay ms],"&gt;="&amp;$N78,Table4[Delay ms],"&lt;"&amp;$O78)</f>
        <v>1</v>
      </c>
      <c r="R78">
        <f>COUNTIFS(Table2[Delay ms],"&gt;="&amp;$N78,Table2[Delay ms],"&lt;"&amp;$O78)</f>
        <v>0</v>
      </c>
      <c r="S78">
        <f>COUNTIFS(Table1[Delay ms],"&gt;="&amp;$N78,Table1[Delay ms],"&lt;"&amp;$O78)</f>
        <v>0</v>
      </c>
    </row>
    <row r="79" spans="8:22" x14ac:dyDescent="0.25">
      <c r="H79" s="4">
        <v>7.8620000000000001</v>
      </c>
      <c r="I79" s="1">
        <f t="shared" si="7"/>
        <v>7862</v>
      </c>
      <c r="N79" s="5">
        <f t="shared" si="10"/>
        <v>7600</v>
      </c>
      <c r="O79" s="5">
        <f t="shared" si="8"/>
        <v>7699.9</v>
      </c>
      <c r="P79" s="4" t="str">
        <f t="shared" si="9"/>
        <v>7600..7700</v>
      </c>
      <c r="Q79">
        <f>COUNTIFS(Table4[Delay ms],"&gt;="&amp;$N79,Table4[Delay ms],"&lt;"&amp;$O79)</f>
        <v>4</v>
      </c>
      <c r="R79">
        <f>COUNTIFS(Table2[Delay ms],"&gt;="&amp;$N79,Table2[Delay ms],"&lt;"&amp;$O79)</f>
        <v>0</v>
      </c>
      <c r="S79">
        <f>COUNTIFS(Table1[Delay ms],"&gt;="&amp;$N79,Table1[Delay ms],"&lt;"&amp;$O79)</f>
        <v>0</v>
      </c>
    </row>
    <row r="80" spans="8:22" x14ac:dyDescent="0.25">
      <c r="H80" s="4">
        <v>10.103</v>
      </c>
      <c r="I80" s="1">
        <f t="shared" si="7"/>
        <v>10103</v>
      </c>
      <c r="N80" s="5">
        <f t="shared" si="10"/>
        <v>7700</v>
      </c>
      <c r="O80" s="5">
        <f t="shared" si="8"/>
        <v>7799.9</v>
      </c>
      <c r="P80" s="4" t="str">
        <f t="shared" si="9"/>
        <v>7700..7800</v>
      </c>
      <c r="Q80">
        <f>COUNTIFS(Table4[Delay ms],"&gt;="&amp;$N80,Table4[Delay ms],"&lt;"&amp;$O80)</f>
        <v>1</v>
      </c>
      <c r="R80">
        <f>COUNTIFS(Table2[Delay ms],"&gt;="&amp;$N80,Table2[Delay ms],"&lt;"&amp;$O80)</f>
        <v>0</v>
      </c>
      <c r="S80">
        <f>COUNTIFS(Table1[Delay ms],"&gt;="&amp;$N80,Table1[Delay ms],"&lt;"&amp;$O80)</f>
        <v>0</v>
      </c>
    </row>
    <row r="81" spans="8:19" x14ac:dyDescent="0.25">
      <c r="H81" s="4">
        <v>0.96499999999999997</v>
      </c>
      <c r="I81" s="1">
        <f t="shared" si="7"/>
        <v>965</v>
      </c>
      <c r="N81" s="5">
        <f t="shared" si="10"/>
        <v>7800</v>
      </c>
      <c r="O81" s="5">
        <f t="shared" si="8"/>
        <v>7899.9</v>
      </c>
      <c r="P81" s="4" t="str">
        <f t="shared" si="9"/>
        <v>7800..7900</v>
      </c>
      <c r="Q81">
        <f>COUNTIFS(Table4[Delay ms],"&gt;="&amp;$N81,Table4[Delay ms],"&lt;"&amp;$O81)</f>
        <v>3</v>
      </c>
      <c r="R81">
        <f>COUNTIFS(Table2[Delay ms],"&gt;="&amp;$N81,Table2[Delay ms],"&lt;"&amp;$O81)</f>
        <v>0</v>
      </c>
      <c r="S81">
        <f>COUNTIFS(Table1[Delay ms],"&gt;="&amp;$N81,Table1[Delay ms],"&lt;"&amp;$O81)</f>
        <v>0</v>
      </c>
    </row>
    <row r="82" spans="8:19" x14ac:dyDescent="0.25">
      <c r="H82" s="4">
        <v>6.5709999999999997</v>
      </c>
      <c r="I82" s="1">
        <f t="shared" si="7"/>
        <v>6571</v>
      </c>
      <c r="N82" s="5">
        <f t="shared" si="10"/>
        <v>7900</v>
      </c>
      <c r="O82" s="5">
        <f t="shared" si="8"/>
        <v>7999.9</v>
      </c>
      <c r="P82" s="4" t="str">
        <f t="shared" si="9"/>
        <v>7900..8000</v>
      </c>
      <c r="Q82">
        <f>COUNTIFS(Table4[Delay ms],"&gt;="&amp;$N82,Table4[Delay ms],"&lt;"&amp;$O82)</f>
        <v>2</v>
      </c>
      <c r="R82">
        <f>COUNTIFS(Table2[Delay ms],"&gt;="&amp;$N82,Table2[Delay ms],"&lt;"&amp;$O82)</f>
        <v>0</v>
      </c>
      <c r="S82">
        <f>COUNTIFS(Table1[Delay ms],"&gt;="&amp;$N82,Table1[Delay ms],"&lt;"&amp;$O82)</f>
        <v>0</v>
      </c>
    </row>
    <row r="83" spans="8:19" x14ac:dyDescent="0.25">
      <c r="H83" s="4">
        <v>6.2629999999999999</v>
      </c>
      <c r="I83" s="1">
        <f t="shared" si="7"/>
        <v>6263</v>
      </c>
      <c r="N83" s="5">
        <f t="shared" si="10"/>
        <v>8000</v>
      </c>
      <c r="O83" s="5">
        <f t="shared" si="8"/>
        <v>8099.9</v>
      </c>
      <c r="P83" s="4" t="str">
        <f t="shared" si="9"/>
        <v>8000..8100</v>
      </c>
      <c r="Q83">
        <f>COUNTIFS(Table4[Delay ms],"&gt;="&amp;$N83,Table4[Delay ms],"&lt;"&amp;$O83)</f>
        <v>1</v>
      </c>
      <c r="R83">
        <f>COUNTIFS(Table2[Delay ms],"&gt;="&amp;$N83,Table2[Delay ms],"&lt;"&amp;$O83)</f>
        <v>0</v>
      </c>
      <c r="S83">
        <f>COUNTIFS(Table1[Delay ms],"&gt;="&amp;$N83,Table1[Delay ms],"&lt;"&amp;$O83)</f>
        <v>0</v>
      </c>
    </row>
    <row r="84" spans="8:19" x14ac:dyDescent="0.25">
      <c r="H84" s="4">
        <v>1.5620000000000001</v>
      </c>
      <c r="I84" s="1">
        <f t="shared" si="7"/>
        <v>1562</v>
      </c>
      <c r="N84" s="5">
        <f t="shared" si="10"/>
        <v>8100</v>
      </c>
      <c r="O84" s="5">
        <f t="shared" si="8"/>
        <v>8199.9</v>
      </c>
      <c r="P84" s="4" t="str">
        <f t="shared" si="9"/>
        <v>8100..8200</v>
      </c>
      <c r="Q84">
        <f>COUNTIFS(Table4[Delay ms],"&gt;="&amp;$N84,Table4[Delay ms],"&lt;"&amp;$O84)</f>
        <v>2</v>
      </c>
      <c r="R84">
        <f>COUNTIFS(Table2[Delay ms],"&gt;="&amp;$N84,Table2[Delay ms],"&lt;"&amp;$O84)</f>
        <v>0</v>
      </c>
      <c r="S84">
        <f>COUNTIFS(Table1[Delay ms],"&gt;="&amp;$N84,Table1[Delay ms],"&lt;"&amp;$O84)</f>
        <v>0</v>
      </c>
    </row>
    <row r="85" spans="8:19" x14ac:dyDescent="0.25">
      <c r="H85" s="4">
        <v>1.5029999999999999</v>
      </c>
      <c r="I85" s="1">
        <f t="shared" si="7"/>
        <v>1503</v>
      </c>
      <c r="N85" s="5">
        <f t="shared" si="10"/>
        <v>8200</v>
      </c>
      <c r="O85" s="5">
        <f t="shared" si="8"/>
        <v>8299.9</v>
      </c>
      <c r="P85" s="4" t="str">
        <f t="shared" si="9"/>
        <v>8200..8300</v>
      </c>
      <c r="Q85">
        <f>COUNTIFS(Table4[Delay ms],"&gt;="&amp;$N85,Table4[Delay ms],"&lt;"&amp;$O85)</f>
        <v>4</v>
      </c>
      <c r="R85">
        <f>COUNTIFS(Table2[Delay ms],"&gt;="&amp;$N85,Table2[Delay ms],"&lt;"&amp;$O85)</f>
        <v>0</v>
      </c>
      <c r="S85">
        <f>COUNTIFS(Table1[Delay ms],"&gt;="&amp;$N85,Table1[Delay ms],"&lt;"&amp;$O85)</f>
        <v>0</v>
      </c>
    </row>
    <row r="86" spans="8:19" x14ac:dyDescent="0.25">
      <c r="H86" s="4">
        <v>7.0090000000000003</v>
      </c>
      <c r="I86" s="1">
        <f t="shared" si="7"/>
        <v>7009</v>
      </c>
      <c r="N86" s="5">
        <f t="shared" si="10"/>
        <v>8300</v>
      </c>
      <c r="O86" s="5">
        <f t="shared" si="8"/>
        <v>8399.9</v>
      </c>
      <c r="P86" s="4" t="str">
        <f t="shared" si="9"/>
        <v>8300..8400</v>
      </c>
      <c r="Q86">
        <f>COUNTIFS(Table4[Delay ms],"&gt;="&amp;$N86,Table4[Delay ms],"&lt;"&amp;$O86)</f>
        <v>4</v>
      </c>
      <c r="R86">
        <f>COUNTIFS(Table2[Delay ms],"&gt;="&amp;$N86,Table2[Delay ms],"&lt;"&amp;$O86)</f>
        <v>0</v>
      </c>
      <c r="S86">
        <f>COUNTIFS(Table1[Delay ms],"&gt;="&amp;$N86,Table1[Delay ms],"&lt;"&amp;$O86)</f>
        <v>0</v>
      </c>
    </row>
    <row r="87" spans="8:19" x14ac:dyDescent="0.25">
      <c r="H87" s="4">
        <v>8.798</v>
      </c>
      <c r="I87" s="1">
        <f t="shared" si="7"/>
        <v>8798</v>
      </c>
      <c r="N87" s="5">
        <f t="shared" si="10"/>
        <v>8400</v>
      </c>
      <c r="O87" s="5">
        <f t="shared" si="8"/>
        <v>8499.9</v>
      </c>
      <c r="P87" s="4" t="str">
        <f t="shared" si="9"/>
        <v>8400..8500</v>
      </c>
      <c r="Q87">
        <f>COUNTIFS(Table4[Delay ms],"&gt;="&amp;$N87,Table4[Delay ms],"&lt;"&amp;$O87)</f>
        <v>1</v>
      </c>
      <c r="R87">
        <f>COUNTIFS(Table2[Delay ms],"&gt;="&amp;$N87,Table2[Delay ms],"&lt;"&amp;$O87)</f>
        <v>0</v>
      </c>
      <c r="S87">
        <f>COUNTIFS(Table1[Delay ms],"&gt;="&amp;$N87,Table1[Delay ms],"&lt;"&amp;$O87)</f>
        <v>0</v>
      </c>
    </row>
    <row r="88" spans="8:19" x14ac:dyDescent="0.25">
      <c r="H88" s="4">
        <v>5.8090000000000002</v>
      </c>
      <c r="I88" s="1">
        <f t="shared" si="7"/>
        <v>5809</v>
      </c>
      <c r="N88" s="5">
        <f t="shared" si="10"/>
        <v>8500</v>
      </c>
      <c r="O88" s="5">
        <f t="shared" si="8"/>
        <v>8599.9</v>
      </c>
      <c r="P88" s="4" t="str">
        <f t="shared" si="9"/>
        <v>8500..8600</v>
      </c>
      <c r="Q88">
        <f>COUNTIFS(Table4[Delay ms],"&gt;="&amp;$N88,Table4[Delay ms],"&lt;"&amp;$O88)</f>
        <v>3</v>
      </c>
      <c r="R88">
        <f>COUNTIFS(Table2[Delay ms],"&gt;="&amp;$N88,Table2[Delay ms],"&lt;"&amp;$O88)</f>
        <v>0</v>
      </c>
      <c r="S88">
        <f>COUNTIFS(Table1[Delay ms],"&gt;="&amp;$N88,Table1[Delay ms],"&lt;"&amp;$O88)</f>
        <v>0</v>
      </c>
    </row>
    <row r="89" spans="8:19" x14ac:dyDescent="0.25">
      <c r="H89" s="4">
        <v>2.7290000000000001</v>
      </c>
      <c r="I89" s="1">
        <f t="shared" si="7"/>
        <v>2729</v>
      </c>
      <c r="N89" s="5">
        <f t="shared" si="10"/>
        <v>8600</v>
      </c>
      <c r="O89" s="5">
        <f t="shared" si="8"/>
        <v>8699.9</v>
      </c>
      <c r="P89" s="4" t="str">
        <f t="shared" si="9"/>
        <v>8600..8700</v>
      </c>
      <c r="Q89">
        <f>COUNTIFS(Table4[Delay ms],"&gt;="&amp;$N89,Table4[Delay ms],"&lt;"&amp;$O89)</f>
        <v>0</v>
      </c>
      <c r="R89">
        <f>COUNTIFS(Table2[Delay ms],"&gt;="&amp;$N89,Table2[Delay ms],"&lt;"&amp;$O89)</f>
        <v>0</v>
      </c>
      <c r="S89">
        <f>COUNTIFS(Table1[Delay ms],"&gt;="&amp;$N89,Table1[Delay ms],"&lt;"&amp;$O89)</f>
        <v>0</v>
      </c>
    </row>
    <row r="90" spans="8:19" x14ac:dyDescent="0.25">
      <c r="H90" s="4">
        <v>3.754</v>
      </c>
      <c r="I90" s="1">
        <f t="shared" si="7"/>
        <v>3754</v>
      </c>
      <c r="N90" s="5">
        <f t="shared" si="10"/>
        <v>8700</v>
      </c>
      <c r="O90" s="5">
        <f t="shared" si="8"/>
        <v>8799.9</v>
      </c>
      <c r="P90" s="4" t="str">
        <f t="shared" si="9"/>
        <v>8700..8800</v>
      </c>
      <c r="Q90">
        <f>COUNTIFS(Table4[Delay ms],"&gt;="&amp;$N90,Table4[Delay ms],"&lt;"&amp;$O90)</f>
        <v>3</v>
      </c>
      <c r="R90">
        <f>COUNTIFS(Table2[Delay ms],"&gt;="&amp;$N90,Table2[Delay ms],"&lt;"&amp;$O90)</f>
        <v>0</v>
      </c>
      <c r="S90">
        <f>COUNTIFS(Table1[Delay ms],"&gt;="&amp;$N90,Table1[Delay ms],"&lt;"&amp;$O90)</f>
        <v>0</v>
      </c>
    </row>
    <row r="91" spans="8:19" x14ac:dyDescent="0.25">
      <c r="H91" s="4">
        <v>4.5780000000000003</v>
      </c>
      <c r="I91" s="1">
        <f t="shared" si="7"/>
        <v>4578</v>
      </c>
      <c r="N91" s="5">
        <f t="shared" si="10"/>
        <v>8800</v>
      </c>
      <c r="O91" s="5">
        <f t="shared" si="8"/>
        <v>8899.9</v>
      </c>
      <c r="P91" s="4" t="str">
        <f t="shared" si="9"/>
        <v>8800..8900</v>
      </c>
      <c r="Q91">
        <f>COUNTIFS(Table4[Delay ms],"&gt;="&amp;$N91,Table4[Delay ms],"&lt;"&amp;$O91)</f>
        <v>4</v>
      </c>
      <c r="R91">
        <f>COUNTIFS(Table2[Delay ms],"&gt;="&amp;$N91,Table2[Delay ms],"&lt;"&amp;$O91)</f>
        <v>0</v>
      </c>
      <c r="S91">
        <f>COUNTIFS(Table1[Delay ms],"&gt;="&amp;$N91,Table1[Delay ms],"&lt;"&amp;$O91)</f>
        <v>0</v>
      </c>
    </row>
    <row r="92" spans="8:19" x14ac:dyDescent="0.25">
      <c r="H92" s="4">
        <v>1.3560000000000001</v>
      </c>
      <c r="I92" s="1">
        <f t="shared" si="7"/>
        <v>1356</v>
      </c>
      <c r="N92" s="5">
        <f t="shared" si="10"/>
        <v>8900</v>
      </c>
      <c r="O92" s="5">
        <f t="shared" si="8"/>
        <v>8999.9</v>
      </c>
      <c r="P92" s="4" t="str">
        <f t="shared" si="9"/>
        <v>8900..9000</v>
      </c>
      <c r="Q92">
        <f>COUNTIFS(Table4[Delay ms],"&gt;="&amp;$N92,Table4[Delay ms],"&lt;"&amp;$O92)</f>
        <v>4</v>
      </c>
      <c r="R92">
        <f>COUNTIFS(Table2[Delay ms],"&gt;="&amp;$N92,Table2[Delay ms],"&lt;"&amp;$O92)</f>
        <v>0</v>
      </c>
      <c r="S92">
        <f>COUNTIFS(Table1[Delay ms],"&gt;="&amp;$N92,Table1[Delay ms],"&lt;"&amp;$O92)</f>
        <v>0</v>
      </c>
    </row>
    <row r="93" spans="8:19" x14ac:dyDescent="0.25">
      <c r="H93" s="4">
        <v>3.141</v>
      </c>
      <c r="I93" s="1">
        <f t="shared" si="7"/>
        <v>3141</v>
      </c>
      <c r="N93" s="5">
        <f t="shared" si="10"/>
        <v>9000</v>
      </c>
      <c r="O93" s="5">
        <f t="shared" si="8"/>
        <v>9099.9</v>
      </c>
      <c r="P93" s="4" t="str">
        <f t="shared" si="9"/>
        <v>9000..9100</v>
      </c>
      <c r="Q93">
        <f>COUNTIFS(Table4[Delay ms],"&gt;="&amp;$N93,Table4[Delay ms],"&lt;"&amp;$O93)</f>
        <v>4</v>
      </c>
      <c r="R93">
        <f>COUNTIFS(Table2[Delay ms],"&gt;="&amp;$N93,Table2[Delay ms],"&lt;"&amp;$O93)</f>
        <v>0</v>
      </c>
      <c r="S93">
        <f>COUNTIFS(Table1[Delay ms],"&gt;="&amp;$N93,Table1[Delay ms],"&lt;"&amp;$O93)</f>
        <v>0</v>
      </c>
    </row>
    <row r="94" spans="8:19" x14ac:dyDescent="0.25">
      <c r="H94" s="4">
        <v>8.1470000000000002</v>
      </c>
      <c r="I94" s="1">
        <f t="shared" si="7"/>
        <v>8147</v>
      </c>
      <c r="N94" s="5">
        <f t="shared" si="10"/>
        <v>9100</v>
      </c>
      <c r="O94" s="5">
        <f t="shared" si="8"/>
        <v>9199.9</v>
      </c>
      <c r="P94" s="4" t="str">
        <f t="shared" si="9"/>
        <v>9100..9200</v>
      </c>
      <c r="Q94">
        <f>COUNTIFS(Table4[Delay ms],"&gt;="&amp;$N94,Table4[Delay ms],"&lt;"&amp;$O94)</f>
        <v>0</v>
      </c>
      <c r="R94">
        <f>COUNTIFS(Table2[Delay ms],"&gt;="&amp;$N94,Table2[Delay ms],"&lt;"&amp;$O94)</f>
        <v>0</v>
      </c>
      <c r="S94">
        <f>COUNTIFS(Table1[Delay ms],"&gt;="&amp;$N94,Table1[Delay ms],"&lt;"&amp;$O94)</f>
        <v>0</v>
      </c>
    </row>
    <row r="95" spans="8:19" x14ac:dyDescent="0.25">
      <c r="H95" s="4">
        <v>8.1690000000000005</v>
      </c>
      <c r="I95" s="1">
        <f t="shared" si="7"/>
        <v>8169.0000000000009</v>
      </c>
      <c r="N95" s="5">
        <f t="shared" si="10"/>
        <v>9200</v>
      </c>
      <c r="O95" s="5">
        <f t="shared" si="8"/>
        <v>9299.9</v>
      </c>
      <c r="P95" s="4" t="str">
        <f t="shared" si="9"/>
        <v>9200..9300</v>
      </c>
      <c r="Q95">
        <f>COUNTIFS(Table4[Delay ms],"&gt;="&amp;$N95,Table4[Delay ms],"&lt;"&amp;$O95)</f>
        <v>3</v>
      </c>
      <c r="R95">
        <f>COUNTIFS(Table2[Delay ms],"&gt;="&amp;$N95,Table2[Delay ms],"&lt;"&amp;$O95)</f>
        <v>0</v>
      </c>
      <c r="S95">
        <f>COUNTIFS(Table1[Delay ms],"&gt;="&amp;$N95,Table1[Delay ms],"&lt;"&amp;$O95)</f>
        <v>0</v>
      </c>
    </row>
    <row r="96" spans="8:19" x14ac:dyDescent="0.25">
      <c r="H96" s="4">
        <v>8.3330000000000002</v>
      </c>
      <c r="I96" s="1">
        <f t="shared" si="7"/>
        <v>8333</v>
      </c>
      <c r="N96" s="5">
        <f t="shared" si="10"/>
        <v>9300</v>
      </c>
      <c r="O96" s="5">
        <f t="shared" si="8"/>
        <v>9399.9</v>
      </c>
      <c r="P96" s="4" t="str">
        <f t="shared" si="9"/>
        <v>9300..9400</v>
      </c>
      <c r="Q96">
        <f>COUNTIFS(Table4[Delay ms],"&gt;="&amp;$N96,Table4[Delay ms],"&lt;"&amp;$O96)</f>
        <v>1</v>
      </c>
      <c r="R96">
        <f>COUNTIFS(Table2[Delay ms],"&gt;="&amp;$N96,Table2[Delay ms],"&lt;"&amp;$O96)</f>
        <v>0</v>
      </c>
      <c r="S96">
        <f>COUNTIFS(Table1[Delay ms],"&gt;="&amp;$N96,Table1[Delay ms],"&lt;"&amp;$O96)</f>
        <v>0</v>
      </c>
    </row>
    <row r="97" spans="8:19" x14ac:dyDescent="0.25">
      <c r="H97" s="4">
        <v>7.2590000000000003</v>
      </c>
      <c r="I97" s="1">
        <f t="shared" si="7"/>
        <v>7259</v>
      </c>
      <c r="N97" s="5">
        <f t="shared" si="10"/>
        <v>9400</v>
      </c>
      <c r="O97" s="5">
        <f t="shared" si="8"/>
        <v>9499.9</v>
      </c>
      <c r="P97" s="4" t="str">
        <f t="shared" si="9"/>
        <v>9400..9500</v>
      </c>
      <c r="Q97">
        <f>COUNTIFS(Table4[Delay ms],"&gt;="&amp;$N97,Table4[Delay ms],"&lt;"&amp;$O97)</f>
        <v>2</v>
      </c>
      <c r="R97">
        <f>COUNTIFS(Table2[Delay ms],"&gt;="&amp;$N97,Table2[Delay ms],"&lt;"&amp;$O97)</f>
        <v>0</v>
      </c>
      <c r="S97">
        <f>COUNTIFS(Table1[Delay ms],"&gt;="&amp;$N97,Table1[Delay ms],"&lt;"&amp;$O97)</f>
        <v>0</v>
      </c>
    </row>
    <row r="98" spans="8:19" x14ac:dyDescent="0.25">
      <c r="H98" s="4">
        <v>10.067</v>
      </c>
      <c r="I98" s="1">
        <f t="shared" si="7"/>
        <v>10067</v>
      </c>
      <c r="N98" s="5">
        <f t="shared" si="10"/>
        <v>9500</v>
      </c>
      <c r="O98" s="5">
        <f t="shared" si="8"/>
        <v>9599.9</v>
      </c>
      <c r="P98" s="4" t="str">
        <f t="shared" si="9"/>
        <v>9500..9600</v>
      </c>
      <c r="Q98">
        <f>COUNTIFS(Table4[Delay ms],"&gt;="&amp;$N98,Table4[Delay ms],"&lt;"&amp;$O98)</f>
        <v>2</v>
      </c>
      <c r="R98">
        <f>COUNTIFS(Table2[Delay ms],"&gt;="&amp;$N98,Table2[Delay ms],"&lt;"&amp;$O98)</f>
        <v>0</v>
      </c>
      <c r="S98">
        <f>COUNTIFS(Table1[Delay ms],"&gt;="&amp;$N98,Table1[Delay ms],"&lt;"&amp;$O98)</f>
        <v>0</v>
      </c>
    </row>
    <row r="99" spans="8:19" x14ac:dyDescent="0.25">
      <c r="H99" s="4">
        <v>4.6040000000000001</v>
      </c>
      <c r="I99" s="1">
        <f t="shared" si="7"/>
        <v>4604</v>
      </c>
      <c r="N99" s="5">
        <f t="shared" si="10"/>
        <v>9600</v>
      </c>
      <c r="O99" s="5">
        <f t="shared" si="8"/>
        <v>9699.9</v>
      </c>
      <c r="P99" s="4" t="str">
        <f t="shared" si="9"/>
        <v>9600..9700</v>
      </c>
      <c r="Q99">
        <f>COUNTIFS(Table4[Delay ms],"&gt;="&amp;$N99,Table4[Delay ms],"&lt;"&amp;$O99)</f>
        <v>1</v>
      </c>
      <c r="R99">
        <f>COUNTIFS(Table2[Delay ms],"&gt;="&amp;$N99,Table2[Delay ms],"&lt;"&amp;$O99)</f>
        <v>0</v>
      </c>
      <c r="S99">
        <f>COUNTIFS(Table1[Delay ms],"&gt;="&amp;$N99,Table1[Delay ms],"&lt;"&amp;$O99)</f>
        <v>0</v>
      </c>
    </row>
    <row r="100" spans="8:19" x14ac:dyDescent="0.25">
      <c r="H100" s="4">
        <v>4.59</v>
      </c>
      <c r="I100" s="1">
        <f t="shared" si="7"/>
        <v>4590</v>
      </c>
      <c r="N100" s="5">
        <f t="shared" si="10"/>
        <v>9700</v>
      </c>
      <c r="O100" s="5">
        <f t="shared" si="8"/>
        <v>9799.9</v>
      </c>
      <c r="P100" s="4" t="str">
        <f t="shared" si="9"/>
        <v>9700..9800</v>
      </c>
      <c r="Q100">
        <f>COUNTIFS(Table4[Delay ms],"&gt;="&amp;$N100,Table4[Delay ms],"&lt;"&amp;$O100)</f>
        <v>3</v>
      </c>
      <c r="R100">
        <f>COUNTIFS(Table2[Delay ms],"&gt;="&amp;$N100,Table2[Delay ms],"&lt;"&amp;$O100)</f>
        <v>0</v>
      </c>
      <c r="S100">
        <f>COUNTIFS(Table1[Delay ms],"&gt;="&amp;$N100,Table1[Delay ms],"&lt;"&amp;$O100)</f>
        <v>0</v>
      </c>
    </row>
    <row r="101" spans="8:19" x14ac:dyDescent="0.25">
      <c r="H101" s="4">
        <v>2.1440000000000001</v>
      </c>
      <c r="I101" s="1">
        <f t="shared" si="7"/>
        <v>2144</v>
      </c>
      <c r="N101" s="5">
        <f t="shared" si="10"/>
        <v>9800</v>
      </c>
      <c r="O101" s="5">
        <f t="shared" si="8"/>
        <v>9899.9</v>
      </c>
      <c r="P101" s="4" t="str">
        <f t="shared" si="9"/>
        <v>9800..9900</v>
      </c>
      <c r="Q101">
        <f>COUNTIFS(Table4[Delay ms],"&gt;="&amp;$N101,Table4[Delay ms],"&lt;"&amp;$O101)</f>
        <v>3</v>
      </c>
      <c r="R101">
        <f>COUNTIFS(Table2[Delay ms],"&gt;="&amp;$N101,Table2[Delay ms],"&lt;"&amp;$O101)</f>
        <v>0</v>
      </c>
      <c r="S101">
        <f>COUNTIFS(Table1[Delay ms],"&gt;="&amp;$N101,Table1[Delay ms],"&lt;"&amp;$O101)</f>
        <v>0</v>
      </c>
    </row>
    <row r="102" spans="8:19" x14ac:dyDescent="0.25">
      <c r="H102" s="4">
        <v>4.0179999999999998</v>
      </c>
      <c r="I102" s="1">
        <f t="shared" si="7"/>
        <v>4018</v>
      </c>
      <c r="N102" s="5">
        <f t="shared" si="10"/>
        <v>9900</v>
      </c>
      <c r="O102" s="5">
        <f t="shared" si="8"/>
        <v>9999.9</v>
      </c>
      <c r="P102" s="4" t="str">
        <f t="shared" si="9"/>
        <v>9900..10000</v>
      </c>
      <c r="Q102">
        <f>COUNTIFS(Table4[Delay ms],"&gt;="&amp;$N102,Table4[Delay ms],"&lt;"&amp;$O102)</f>
        <v>1</v>
      </c>
      <c r="R102">
        <f>COUNTIFS(Table2[Delay ms],"&gt;="&amp;$N102,Table2[Delay ms],"&lt;"&amp;$O102)</f>
        <v>0</v>
      </c>
      <c r="S102">
        <f>COUNTIFS(Table1[Delay ms],"&gt;="&amp;$N102,Table1[Delay ms],"&lt;"&amp;$O102)</f>
        <v>0</v>
      </c>
    </row>
    <row r="103" spans="8:19" x14ac:dyDescent="0.25">
      <c r="H103" s="4">
        <v>2.9590000000000001</v>
      </c>
      <c r="I103" s="1">
        <f t="shared" si="7"/>
        <v>2959</v>
      </c>
      <c r="N103" s="5">
        <f t="shared" si="10"/>
        <v>10000</v>
      </c>
      <c r="O103" s="5">
        <f t="shared" si="8"/>
        <v>10099.9</v>
      </c>
      <c r="P103" s="4" t="str">
        <f t="shared" si="9"/>
        <v>10000..10100</v>
      </c>
      <c r="Q103">
        <f>COUNTIFS(Table4[Delay ms],"&gt;="&amp;$N103,Table4[Delay ms],"&lt;"&amp;$O103)</f>
        <v>3</v>
      </c>
      <c r="R103">
        <f>COUNTIFS(Table2[Delay ms],"&gt;="&amp;$N103,Table2[Delay ms],"&lt;"&amp;$O103)</f>
        <v>0</v>
      </c>
      <c r="S103">
        <f>COUNTIFS(Table1[Delay ms],"&gt;="&amp;$N103,Table1[Delay ms],"&lt;"&amp;$O103)</f>
        <v>0</v>
      </c>
    </row>
    <row r="104" spans="8:19" x14ac:dyDescent="0.25">
      <c r="H104" s="4">
        <v>4.3879999999999999</v>
      </c>
      <c r="I104" s="1">
        <f t="shared" si="7"/>
        <v>4388</v>
      </c>
      <c r="N104" s="5">
        <f t="shared" si="10"/>
        <v>10100</v>
      </c>
      <c r="O104" s="5">
        <f t="shared" si="8"/>
        <v>10199.9</v>
      </c>
      <c r="P104" s="4" t="str">
        <f t="shared" si="9"/>
        <v>10100..10200</v>
      </c>
      <c r="Q104">
        <f>COUNTIFS(Table4[Delay ms],"&gt;="&amp;$N104,Table4[Delay ms],"&lt;"&amp;$O104)</f>
        <v>1</v>
      </c>
      <c r="R104">
        <f>COUNTIFS(Table2[Delay ms],"&gt;="&amp;$N104,Table2[Delay ms],"&lt;"&amp;$O104)</f>
        <v>0</v>
      </c>
      <c r="S104">
        <f>COUNTIFS(Table1[Delay ms],"&gt;="&amp;$N104,Table1[Delay ms],"&lt;"&amp;$O104)</f>
        <v>0</v>
      </c>
    </row>
    <row r="105" spans="8:19" x14ac:dyDescent="0.25">
      <c r="H105" s="4">
        <v>5.6669999999999998</v>
      </c>
      <c r="I105" s="1">
        <f t="shared" si="7"/>
        <v>5667</v>
      </c>
      <c r="N105" s="5">
        <f t="shared" si="10"/>
        <v>10200</v>
      </c>
      <c r="O105" s="5">
        <f t="shared" si="8"/>
        <v>10299.9</v>
      </c>
      <c r="P105" s="4" t="str">
        <f t="shared" si="9"/>
        <v>10200..10300</v>
      </c>
      <c r="Q105">
        <f>COUNTIFS(Table4[Delay ms],"&gt;="&amp;$N105,Table4[Delay ms],"&lt;"&amp;$O105)</f>
        <v>2</v>
      </c>
      <c r="R105">
        <f>COUNTIFS(Table2[Delay ms],"&gt;="&amp;$N105,Table2[Delay ms],"&lt;"&amp;$O105)</f>
        <v>0</v>
      </c>
      <c r="S105">
        <f>COUNTIFS(Table1[Delay ms],"&gt;="&amp;$N105,Table1[Delay ms],"&lt;"&amp;$O105)</f>
        <v>0</v>
      </c>
    </row>
    <row r="106" spans="8:19" x14ac:dyDescent="0.25">
      <c r="H106" s="4">
        <v>7.6310000000000002</v>
      </c>
      <c r="I106" s="1">
        <f t="shared" si="7"/>
        <v>7631</v>
      </c>
      <c r="N106" s="5">
        <f t="shared" si="10"/>
        <v>10300</v>
      </c>
      <c r="O106" s="5">
        <f t="shared" si="8"/>
        <v>10399.9</v>
      </c>
      <c r="P106" s="4" t="str">
        <f>TEXT(N106,"0")&amp;".."&amp;TEXT(N107,"0")</f>
        <v>10300..10400</v>
      </c>
      <c r="Q106">
        <f>COUNTIFS(Table4[Delay ms],"&gt;="&amp;$N106,Table4[Delay ms],"&lt;"&amp;$O106)</f>
        <v>3</v>
      </c>
      <c r="R106">
        <f>COUNTIFS(Table2[Delay ms],"&gt;="&amp;$N106,Table2[Delay ms],"&lt;"&amp;$O106)</f>
        <v>0</v>
      </c>
      <c r="S106">
        <f>COUNTIFS(Table1[Delay ms],"&gt;="&amp;$N106,Table1[Delay ms],"&lt;"&amp;$O106)</f>
        <v>0</v>
      </c>
    </row>
    <row r="107" spans="8:19" x14ac:dyDescent="0.25">
      <c r="H107" s="4">
        <v>0.63300000000000001</v>
      </c>
      <c r="I107" s="1">
        <f t="shared" si="7"/>
        <v>633</v>
      </c>
      <c r="N107" s="5">
        <f>N106+$O$3+0.1</f>
        <v>10400</v>
      </c>
      <c r="O107" s="5">
        <f>N107+99.9</f>
        <v>10499.9</v>
      </c>
      <c r="P107" s="4" t="str">
        <f>TEXT(N107,"0")&amp;".."&amp;TEXT(N108,"0")</f>
        <v>10400..10500</v>
      </c>
      <c r="Q107">
        <f>COUNTIFS(Table4[Delay ms],"&gt;="&amp;$N107,Table4[Delay ms],"&lt;"&amp;$O107)</f>
        <v>3</v>
      </c>
      <c r="R107">
        <f>COUNTIFS(Table2[Delay ms],"&gt;="&amp;$N107,Table2[Delay ms],"&lt;"&amp;$O107)</f>
        <v>0</v>
      </c>
      <c r="S107">
        <f>COUNTIFS(Table1[Delay ms],"&gt;="&amp;$N107,Table1[Delay ms],"&lt;"&amp;$O107)</f>
        <v>0</v>
      </c>
    </row>
    <row r="108" spans="8:19" x14ac:dyDescent="0.25">
      <c r="H108" s="4">
        <v>4.3689999999999998</v>
      </c>
      <c r="I108" s="1">
        <f t="shared" si="7"/>
        <v>4369</v>
      </c>
      <c r="N108" s="5">
        <f>N107+$O$3+0.1</f>
        <v>10500</v>
      </c>
      <c r="O108" s="5">
        <f>N108+99.9</f>
        <v>10599.9</v>
      </c>
      <c r="P108" s="4" t="str">
        <f t="shared" ref="P108:P115" si="12">TEXT(N108,"0")&amp;".."&amp;TEXT(N109,"0")</f>
        <v>10500..10600</v>
      </c>
      <c r="Q108">
        <f>COUNTIFS(Table4[Delay ms],"&gt;="&amp;$N108,Table4[Delay ms],"&lt;"&amp;$O108)</f>
        <v>0</v>
      </c>
      <c r="R108">
        <f>COUNTIFS(Table2[Delay ms],"&gt;="&amp;$N108,Table2[Delay ms],"&lt;"&amp;$O108)</f>
        <v>0</v>
      </c>
      <c r="S108">
        <f>COUNTIFS(Table1[Delay ms],"&gt;="&amp;$N108,Table1[Delay ms],"&lt;"&amp;$O108)</f>
        <v>0</v>
      </c>
    </row>
    <row r="109" spans="8:19" x14ac:dyDescent="0.25">
      <c r="H109" s="4">
        <v>3.4910000000000001</v>
      </c>
      <c r="I109" s="1">
        <f t="shared" si="7"/>
        <v>3491</v>
      </c>
      <c r="N109" s="5">
        <f t="shared" ref="N109:N114" si="13">N108+$O$3+0.1</f>
        <v>10600</v>
      </c>
      <c r="O109" s="5">
        <f t="shared" ref="O109:O116" si="14">N109+99.9</f>
        <v>10699.9</v>
      </c>
      <c r="P109" s="4" t="str">
        <f t="shared" si="12"/>
        <v>10600..10700</v>
      </c>
      <c r="Q109">
        <f>COUNTIFS(Table4[Delay ms],"&gt;="&amp;$N109,Table4[Delay ms],"&lt;"&amp;$O109)</f>
        <v>1</v>
      </c>
      <c r="R109">
        <f>COUNTIFS(Table2[Delay ms],"&gt;="&amp;$N109,Table2[Delay ms],"&lt;"&amp;$O109)</f>
        <v>0</v>
      </c>
      <c r="S109">
        <f>COUNTIFS(Table1[Delay ms],"&gt;="&amp;$N109,Table1[Delay ms],"&lt;"&amp;$O109)</f>
        <v>0</v>
      </c>
    </row>
    <row r="110" spans="8:19" x14ac:dyDescent="0.25">
      <c r="H110" s="4">
        <v>4.7480000000000002</v>
      </c>
      <c r="I110" s="1">
        <f t="shared" si="7"/>
        <v>4748</v>
      </c>
      <c r="N110" s="5">
        <f t="shared" si="13"/>
        <v>10700</v>
      </c>
      <c r="O110" s="5">
        <f t="shared" si="14"/>
        <v>10799.9</v>
      </c>
      <c r="P110" s="4" t="str">
        <f t="shared" si="12"/>
        <v>10700..10800</v>
      </c>
      <c r="Q110">
        <f>COUNTIFS(Table4[Delay ms],"&gt;="&amp;$N110,Table4[Delay ms],"&lt;"&amp;$O110)</f>
        <v>0</v>
      </c>
      <c r="R110">
        <f>COUNTIFS(Table2[Delay ms],"&gt;="&amp;$N110,Table2[Delay ms],"&lt;"&amp;$O110)</f>
        <v>0</v>
      </c>
      <c r="S110">
        <f>COUNTIFS(Table1[Delay ms],"&gt;="&amp;$N110,Table1[Delay ms],"&lt;"&amp;$O110)</f>
        <v>0</v>
      </c>
    </row>
    <row r="111" spans="8:19" x14ac:dyDescent="0.25">
      <c r="H111" s="4">
        <v>2.2850000000000001</v>
      </c>
      <c r="I111" s="1">
        <f t="shared" si="7"/>
        <v>2285</v>
      </c>
      <c r="N111" s="5">
        <f t="shared" si="13"/>
        <v>10800</v>
      </c>
      <c r="O111" s="5">
        <f t="shared" si="14"/>
        <v>10899.9</v>
      </c>
      <c r="P111" s="4" t="str">
        <f t="shared" si="12"/>
        <v>10800..10900</v>
      </c>
      <c r="Q111">
        <f>COUNTIFS(Table4[Delay ms],"&gt;="&amp;$N111,Table4[Delay ms],"&lt;"&amp;$O111)</f>
        <v>0</v>
      </c>
      <c r="R111">
        <f>COUNTIFS(Table2[Delay ms],"&gt;="&amp;$N111,Table2[Delay ms],"&lt;"&amp;$O111)</f>
        <v>0</v>
      </c>
      <c r="S111">
        <f>COUNTIFS(Table1[Delay ms],"&gt;="&amp;$N111,Table1[Delay ms],"&lt;"&amp;$O111)</f>
        <v>0</v>
      </c>
    </row>
    <row r="112" spans="8:19" x14ac:dyDescent="0.25">
      <c r="H112" s="4">
        <v>7.2069999999999999</v>
      </c>
      <c r="I112" s="1">
        <f t="shared" si="7"/>
        <v>7207</v>
      </c>
      <c r="N112" s="5">
        <f t="shared" si="13"/>
        <v>10900</v>
      </c>
      <c r="O112" s="5">
        <f t="shared" si="14"/>
        <v>10999.9</v>
      </c>
      <c r="P112" s="4" t="str">
        <f t="shared" si="12"/>
        <v>10900..11000</v>
      </c>
      <c r="Q112">
        <f>COUNTIFS(Table4[Delay ms],"&gt;="&amp;$N112,Table4[Delay ms],"&lt;"&amp;$O112)</f>
        <v>0</v>
      </c>
      <c r="R112">
        <f>COUNTIFS(Table2[Delay ms],"&gt;="&amp;$N112,Table2[Delay ms],"&lt;"&amp;$O112)</f>
        <v>0</v>
      </c>
      <c r="S112">
        <f>COUNTIFS(Table1[Delay ms],"&gt;="&amp;$N112,Table1[Delay ms],"&lt;"&amp;$O112)</f>
        <v>0</v>
      </c>
    </row>
    <row r="113" spans="8:19" x14ac:dyDescent="0.25">
      <c r="H113" s="4">
        <v>9.0779999999999994</v>
      </c>
      <c r="I113" s="1">
        <f t="shared" si="7"/>
        <v>9078</v>
      </c>
      <c r="N113" s="5">
        <f t="shared" si="13"/>
        <v>11000</v>
      </c>
      <c r="O113" s="5">
        <f t="shared" si="14"/>
        <v>11099.9</v>
      </c>
      <c r="P113" s="4" t="str">
        <f t="shared" si="12"/>
        <v>11000..11100</v>
      </c>
      <c r="Q113">
        <f>COUNTIFS(Table4[Delay ms],"&gt;="&amp;$N113,Table4[Delay ms],"&lt;"&amp;$O113)</f>
        <v>0</v>
      </c>
      <c r="R113">
        <f>COUNTIFS(Table2[Delay ms],"&gt;="&amp;$N113,Table2[Delay ms],"&lt;"&amp;$O113)</f>
        <v>0</v>
      </c>
      <c r="S113">
        <f>COUNTIFS(Table1[Delay ms],"&gt;="&amp;$N113,Table1[Delay ms],"&lt;"&amp;$O113)</f>
        <v>0</v>
      </c>
    </row>
    <row r="114" spans="8:19" x14ac:dyDescent="0.25">
      <c r="H114" s="4">
        <v>10.332000000000001</v>
      </c>
      <c r="I114" s="1">
        <f t="shared" si="7"/>
        <v>10332</v>
      </c>
      <c r="N114" s="5">
        <f t="shared" si="13"/>
        <v>11100</v>
      </c>
      <c r="O114" s="5">
        <f t="shared" si="14"/>
        <v>11199.9</v>
      </c>
      <c r="P114" s="4" t="str">
        <f t="shared" si="12"/>
        <v>11100..11200</v>
      </c>
      <c r="Q114">
        <f>COUNTIFS(Table4[Delay ms],"&gt;="&amp;$N114,Table4[Delay ms],"&lt;"&amp;$O114)</f>
        <v>0</v>
      </c>
      <c r="R114">
        <f>COUNTIFS(Table2[Delay ms],"&gt;="&amp;$N114,Table2[Delay ms],"&lt;"&amp;$O114)</f>
        <v>0</v>
      </c>
      <c r="S114">
        <f>COUNTIFS(Table1[Delay ms],"&gt;="&amp;$N114,Table1[Delay ms],"&lt;"&amp;$O114)</f>
        <v>0</v>
      </c>
    </row>
    <row r="115" spans="8:19" x14ac:dyDescent="0.25">
      <c r="H115" s="4">
        <v>9.5050000000000008</v>
      </c>
      <c r="I115" s="1">
        <f t="shared" si="7"/>
        <v>9505</v>
      </c>
      <c r="N115" s="5">
        <f t="shared" ref="N115" si="15">N114+$O$3+0.1</f>
        <v>11200</v>
      </c>
      <c r="O115" s="5">
        <f t="shared" si="14"/>
        <v>11299.9</v>
      </c>
      <c r="P115" s="4" t="str">
        <f t="shared" si="12"/>
        <v>11200..11300</v>
      </c>
      <c r="Q115">
        <f>COUNTIFS(Table4[Delay ms],"&gt;="&amp;$N115,Table4[Delay ms],"&lt;"&amp;$O115)</f>
        <v>2</v>
      </c>
      <c r="R115">
        <f>COUNTIFS(Table2[Delay ms],"&gt;="&amp;$N115,Table2[Delay ms],"&lt;"&amp;$O115)</f>
        <v>0</v>
      </c>
      <c r="S115">
        <f>COUNTIFS(Table1[Delay ms],"&gt;="&amp;$N115,Table1[Delay ms],"&lt;"&amp;$O115)</f>
        <v>0</v>
      </c>
    </row>
    <row r="116" spans="8:19" x14ac:dyDescent="0.25">
      <c r="H116" s="4">
        <v>8.0289999999999999</v>
      </c>
      <c r="I116" s="1">
        <f t="shared" si="7"/>
        <v>8029</v>
      </c>
      <c r="N116" s="5">
        <f t="shared" ref="N116" si="16">N115+$O$3+0.1</f>
        <v>11300</v>
      </c>
      <c r="O116" s="5">
        <f t="shared" si="14"/>
        <v>11399.9</v>
      </c>
    </row>
    <row r="117" spans="8:19" x14ac:dyDescent="0.25">
      <c r="H117" s="4">
        <v>9.0850000000000009</v>
      </c>
      <c r="I117" s="1">
        <f t="shared" si="7"/>
        <v>9085</v>
      </c>
    </row>
    <row r="118" spans="8:19" x14ac:dyDescent="0.25">
      <c r="H118" s="4">
        <v>0.85</v>
      </c>
      <c r="I118" s="1">
        <f t="shared" si="7"/>
        <v>850</v>
      </c>
    </row>
    <row r="119" spans="8:19" x14ac:dyDescent="0.25">
      <c r="H119" s="4">
        <v>9.82</v>
      </c>
      <c r="I119" s="1">
        <f t="shared" si="7"/>
        <v>9820</v>
      </c>
    </row>
    <row r="120" spans="8:19" x14ac:dyDescent="0.25">
      <c r="H120" s="4">
        <v>2.4500000000000002</v>
      </c>
      <c r="I120" s="1">
        <f t="shared" si="7"/>
        <v>2450</v>
      </c>
    </row>
    <row r="121" spans="8:19" x14ac:dyDescent="0.25">
      <c r="H121" s="4">
        <v>5.8789999999999996</v>
      </c>
      <c r="I121" s="1">
        <f t="shared" si="7"/>
        <v>5879</v>
      </c>
    </row>
    <row r="122" spans="8:19" x14ac:dyDescent="0.25">
      <c r="H122" s="4">
        <v>5.7080000000000002</v>
      </c>
      <c r="I122" s="1">
        <f t="shared" si="7"/>
        <v>5708</v>
      </c>
    </row>
    <row r="123" spans="8:19" x14ac:dyDescent="0.25">
      <c r="H123" s="4">
        <v>5.819</v>
      </c>
      <c r="I123" s="1">
        <f t="shared" si="7"/>
        <v>5819</v>
      </c>
    </row>
    <row r="124" spans="8:19" x14ac:dyDescent="0.25">
      <c r="H124" s="4">
        <v>4.3789999999999996</v>
      </c>
      <c r="I124" s="1">
        <f t="shared" si="7"/>
        <v>4379</v>
      </c>
    </row>
    <row r="125" spans="8:19" x14ac:dyDescent="0.25">
      <c r="H125" s="4">
        <v>5.2610000000000001</v>
      </c>
      <c r="I125" s="1">
        <f t="shared" si="7"/>
        <v>5261</v>
      </c>
    </row>
    <row r="126" spans="8:19" x14ac:dyDescent="0.25">
      <c r="H126" s="4">
        <v>9.6910000000000007</v>
      </c>
      <c r="I126" s="1">
        <f t="shared" si="7"/>
        <v>9691</v>
      </c>
    </row>
    <row r="127" spans="8:19" x14ac:dyDescent="0.25">
      <c r="H127" s="4">
        <v>8.5570000000000004</v>
      </c>
      <c r="I127" s="1">
        <f t="shared" si="7"/>
        <v>8557</v>
      </c>
    </row>
    <row r="128" spans="8:19" x14ac:dyDescent="0.25">
      <c r="H128" s="4">
        <v>2.3199999999999998</v>
      </c>
      <c r="I128" s="1">
        <f t="shared" si="7"/>
        <v>2320</v>
      </c>
    </row>
    <row r="129" spans="8:9" x14ac:dyDescent="0.25">
      <c r="H129" s="4">
        <v>0.96599999999999997</v>
      </c>
      <c r="I129" s="1">
        <f t="shared" si="7"/>
        <v>966</v>
      </c>
    </row>
    <row r="130" spans="8:9" x14ac:dyDescent="0.25">
      <c r="H130" s="4">
        <v>3.8980000000000001</v>
      </c>
      <c r="I130" s="1">
        <f t="shared" si="7"/>
        <v>3898</v>
      </c>
    </row>
    <row r="131" spans="8:9" x14ac:dyDescent="0.25">
      <c r="H131" s="4">
        <v>4.8360000000000003</v>
      </c>
      <c r="I131" s="1">
        <f t="shared" ref="I131:I194" si="17">H131*1000</f>
        <v>4836</v>
      </c>
    </row>
    <row r="132" spans="8:9" x14ac:dyDescent="0.25">
      <c r="H132" s="4">
        <v>4.7409999999999997</v>
      </c>
      <c r="I132" s="1">
        <f t="shared" si="17"/>
        <v>4741</v>
      </c>
    </row>
    <row r="133" spans="8:9" x14ac:dyDescent="0.25">
      <c r="H133" s="4">
        <v>4.9950000000000001</v>
      </c>
      <c r="I133" s="1">
        <f t="shared" si="17"/>
        <v>4995</v>
      </c>
    </row>
    <row r="134" spans="8:9" x14ac:dyDescent="0.25">
      <c r="H134" s="4">
        <v>6.7610000000000001</v>
      </c>
      <c r="I134" s="1">
        <f t="shared" si="17"/>
        <v>6761</v>
      </c>
    </row>
    <row r="135" spans="8:9" x14ac:dyDescent="0.25">
      <c r="H135" s="4">
        <v>9.7089999999999996</v>
      </c>
      <c r="I135" s="1">
        <f t="shared" si="17"/>
        <v>9709</v>
      </c>
    </row>
    <row r="136" spans="8:9" x14ac:dyDescent="0.25">
      <c r="H136" s="4">
        <v>5.5410000000000004</v>
      </c>
      <c r="I136" s="1">
        <f t="shared" si="17"/>
        <v>5541</v>
      </c>
    </row>
    <row r="137" spans="8:9" x14ac:dyDescent="0.25">
      <c r="H137" s="4">
        <v>5.6630000000000003</v>
      </c>
      <c r="I137" s="1">
        <f t="shared" si="17"/>
        <v>5663</v>
      </c>
    </row>
    <row r="138" spans="8:9" x14ac:dyDescent="0.25">
      <c r="H138" s="4">
        <v>6.6539999999999999</v>
      </c>
      <c r="I138" s="1">
        <f t="shared" si="17"/>
        <v>6654</v>
      </c>
    </row>
    <row r="139" spans="8:9" x14ac:dyDescent="0.25">
      <c r="H139" s="4">
        <v>7.5490000000000004</v>
      </c>
      <c r="I139" s="1">
        <f t="shared" si="17"/>
        <v>7549</v>
      </c>
    </row>
    <row r="140" spans="8:9" x14ac:dyDescent="0.25">
      <c r="H140" s="4">
        <v>1.87</v>
      </c>
      <c r="I140" s="1">
        <f t="shared" si="17"/>
        <v>1870</v>
      </c>
    </row>
    <row r="141" spans="8:9" x14ac:dyDescent="0.25">
      <c r="H141" s="4">
        <v>0.372</v>
      </c>
      <c r="I141" s="1">
        <f t="shared" si="17"/>
        <v>372</v>
      </c>
    </row>
    <row r="142" spans="8:9" x14ac:dyDescent="0.25">
      <c r="H142" s="4">
        <v>8.4359999999999999</v>
      </c>
      <c r="I142" s="1">
        <f t="shared" si="17"/>
        <v>8436</v>
      </c>
    </row>
    <row r="143" spans="8:9" x14ac:dyDescent="0.25">
      <c r="H143" s="4">
        <v>3.9630000000000001</v>
      </c>
      <c r="I143" s="1">
        <f t="shared" si="17"/>
        <v>3963</v>
      </c>
    </row>
    <row r="144" spans="8:9" x14ac:dyDescent="0.25">
      <c r="H144" s="4">
        <v>6.7779999999999996</v>
      </c>
      <c r="I144" s="1">
        <f t="shared" si="17"/>
        <v>6778</v>
      </c>
    </row>
    <row r="145" spans="8:9" x14ac:dyDescent="0.25">
      <c r="H145" s="4">
        <v>0.5</v>
      </c>
      <c r="I145" s="1">
        <f t="shared" si="17"/>
        <v>500</v>
      </c>
    </row>
    <row r="146" spans="8:9" x14ac:dyDescent="0.25">
      <c r="H146" s="4">
        <v>9.0239999999999991</v>
      </c>
      <c r="I146" s="1">
        <f t="shared" si="17"/>
        <v>9024</v>
      </c>
    </row>
    <row r="147" spans="8:9" x14ac:dyDescent="0.25">
      <c r="H147" s="4">
        <v>2.6059999999999999</v>
      </c>
      <c r="I147" s="1">
        <f t="shared" si="17"/>
        <v>2606</v>
      </c>
    </row>
    <row r="148" spans="8:9" x14ac:dyDescent="0.25">
      <c r="H148" s="4">
        <v>11.228</v>
      </c>
      <c r="I148" s="1">
        <f t="shared" si="17"/>
        <v>11228</v>
      </c>
    </row>
    <row r="149" spans="8:9" x14ac:dyDescent="0.25">
      <c r="H149" s="4">
        <v>5.22</v>
      </c>
      <c r="I149" s="1">
        <f t="shared" si="17"/>
        <v>5220</v>
      </c>
    </row>
    <row r="150" spans="8:9" x14ac:dyDescent="0.25">
      <c r="H150" s="4">
        <v>5.85</v>
      </c>
      <c r="I150" s="1">
        <f t="shared" si="17"/>
        <v>5850</v>
      </c>
    </row>
    <row r="151" spans="8:9" x14ac:dyDescent="0.25">
      <c r="H151" s="4">
        <v>0.47</v>
      </c>
      <c r="I151" s="1">
        <f t="shared" si="17"/>
        <v>470</v>
      </c>
    </row>
    <row r="152" spans="8:9" x14ac:dyDescent="0.25">
      <c r="H152" s="4">
        <v>4.1120000000000001</v>
      </c>
      <c r="I152" s="1">
        <f t="shared" si="17"/>
        <v>4112</v>
      </c>
    </row>
    <row r="153" spans="8:9" x14ac:dyDescent="0.25">
      <c r="H153" s="4">
        <v>7.1040000000000001</v>
      </c>
      <c r="I153" s="1">
        <f t="shared" si="17"/>
        <v>7104</v>
      </c>
    </row>
    <row r="154" spans="8:9" x14ac:dyDescent="0.25">
      <c r="H154" s="4">
        <v>3.875</v>
      </c>
      <c r="I154" s="1">
        <f t="shared" si="17"/>
        <v>3875</v>
      </c>
    </row>
    <row r="155" spans="8:9" x14ac:dyDescent="0.25">
      <c r="H155" s="4">
        <v>1.726</v>
      </c>
      <c r="I155" s="1">
        <f t="shared" si="17"/>
        <v>1726</v>
      </c>
    </row>
    <row r="156" spans="8:9" x14ac:dyDescent="0.25">
      <c r="H156" s="4">
        <v>2.395</v>
      </c>
      <c r="I156" s="1">
        <f t="shared" si="17"/>
        <v>2395</v>
      </c>
    </row>
    <row r="157" spans="8:9" x14ac:dyDescent="0.25">
      <c r="H157" s="4">
        <v>2.524</v>
      </c>
      <c r="I157" s="1">
        <f t="shared" si="17"/>
        <v>2524</v>
      </c>
    </row>
    <row r="158" spans="8:9" x14ac:dyDescent="0.25">
      <c r="H158" s="4">
        <v>3.835</v>
      </c>
      <c r="I158" s="1">
        <f t="shared" si="17"/>
        <v>3835</v>
      </c>
    </row>
    <row r="159" spans="8:9" x14ac:dyDescent="0.25">
      <c r="H159" s="4">
        <v>0.65600000000000003</v>
      </c>
      <c r="I159" s="1">
        <f t="shared" si="17"/>
        <v>656</v>
      </c>
    </row>
    <row r="160" spans="8:9" x14ac:dyDescent="0.25">
      <c r="H160" s="4">
        <v>7.4169999999999998</v>
      </c>
      <c r="I160" s="1">
        <f t="shared" si="17"/>
        <v>7417</v>
      </c>
    </row>
    <row r="161" spans="8:9" x14ac:dyDescent="0.25">
      <c r="H161" s="4">
        <v>5.407</v>
      </c>
      <c r="I161" s="1">
        <f t="shared" si="17"/>
        <v>5407</v>
      </c>
    </row>
    <row r="162" spans="8:9" x14ac:dyDescent="0.25">
      <c r="H162" s="4">
        <v>7.6550000000000002</v>
      </c>
      <c r="I162" s="1">
        <f t="shared" si="17"/>
        <v>7655</v>
      </c>
    </row>
    <row r="163" spans="8:9" x14ac:dyDescent="0.25">
      <c r="H163" s="4">
        <v>10.087</v>
      </c>
      <c r="I163" s="1">
        <f t="shared" si="17"/>
        <v>10087</v>
      </c>
    </row>
    <row r="164" spans="8:9" x14ac:dyDescent="0.25">
      <c r="H164" s="4">
        <v>7.0170000000000003</v>
      </c>
      <c r="I164" s="1">
        <f t="shared" si="17"/>
        <v>7017</v>
      </c>
    </row>
    <row r="165" spans="8:9" x14ac:dyDescent="0.25">
      <c r="H165" s="4">
        <v>0.68200000000000005</v>
      </c>
      <c r="I165" s="1">
        <f t="shared" si="17"/>
        <v>682</v>
      </c>
    </row>
    <row r="166" spans="8:9" x14ac:dyDescent="0.25">
      <c r="H166" s="4">
        <v>6.3380000000000001</v>
      </c>
      <c r="I166" s="1">
        <f t="shared" si="17"/>
        <v>6338</v>
      </c>
    </row>
    <row r="167" spans="8:9" x14ac:dyDescent="0.25">
      <c r="H167" s="4">
        <v>8.2390000000000008</v>
      </c>
      <c r="I167" s="1">
        <f t="shared" si="17"/>
        <v>8239</v>
      </c>
    </row>
    <row r="168" spans="8:9" x14ac:dyDescent="0.25">
      <c r="H168" s="4">
        <v>4.6980000000000004</v>
      </c>
      <c r="I168" s="1">
        <f t="shared" si="17"/>
        <v>4698</v>
      </c>
    </row>
    <row r="169" spans="8:9" x14ac:dyDescent="0.25">
      <c r="H169" s="4">
        <v>2.6240000000000001</v>
      </c>
      <c r="I169" s="1">
        <f t="shared" si="17"/>
        <v>2624</v>
      </c>
    </row>
    <row r="170" spans="8:9" x14ac:dyDescent="0.25">
      <c r="H170" s="4">
        <v>6.5990000000000002</v>
      </c>
      <c r="I170" s="1">
        <f t="shared" si="17"/>
        <v>6599</v>
      </c>
    </row>
    <row r="171" spans="8:9" x14ac:dyDescent="0.25">
      <c r="H171" s="4">
        <v>1.75</v>
      </c>
      <c r="I171" s="1">
        <f t="shared" si="17"/>
        <v>1750</v>
      </c>
    </row>
    <row r="172" spans="8:9" x14ac:dyDescent="0.25">
      <c r="H172" s="4">
        <v>3.9039999999999999</v>
      </c>
      <c r="I172" s="1">
        <f t="shared" si="17"/>
        <v>3904</v>
      </c>
    </row>
    <row r="173" spans="8:9" x14ac:dyDescent="0.25">
      <c r="H173" s="4">
        <v>8.2390000000000008</v>
      </c>
      <c r="I173" s="1">
        <f t="shared" si="17"/>
        <v>8239</v>
      </c>
    </row>
    <row r="174" spans="8:9" x14ac:dyDescent="0.25">
      <c r="H174" s="4">
        <v>8.2230000000000008</v>
      </c>
      <c r="I174" s="1">
        <f t="shared" si="17"/>
        <v>8223</v>
      </c>
    </row>
    <row r="175" spans="8:9" x14ac:dyDescent="0.25">
      <c r="H175" s="4">
        <v>5.1180000000000003</v>
      </c>
      <c r="I175" s="1">
        <f t="shared" si="17"/>
        <v>5118</v>
      </c>
    </row>
    <row r="176" spans="8:9" x14ac:dyDescent="0.25">
      <c r="H176" s="4">
        <v>8.9019999999999992</v>
      </c>
      <c r="I176" s="1">
        <f t="shared" si="17"/>
        <v>8902</v>
      </c>
    </row>
    <row r="177" spans="8:9" x14ac:dyDescent="0.25">
      <c r="H177" s="4">
        <v>2.9159999999999999</v>
      </c>
      <c r="I177" s="1">
        <f t="shared" si="17"/>
        <v>2916</v>
      </c>
    </row>
    <row r="178" spans="8:9" x14ac:dyDescent="0.25">
      <c r="H178" s="4">
        <v>8.5990000000000002</v>
      </c>
      <c r="I178" s="1">
        <f t="shared" si="17"/>
        <v>8599</v>
      </c>
    </row>
    <row r="179" spans="8:9" x14ac:dyDescent="0.25">
      <c r="H179" s="4">
        <v>7.24</v>
      </c>
      <c r="I179" s="1">
        <f t="shared" si="17"/>
        <v>7240</v>
      </c>
    </row>
    <row r="180" spans="8:9" x14ac:dyDescent="0.25">
      <c r="H180" s="4">
        <v>4.327</v>
      </c>
      <c r="I180" s="1">
        <f t="shared" si="17"/>
        <v>4327</v>
      </c>
    </row>
    <row r="181" spans="8:9" x14ac:dyDescent="0.25">
      <c r="H181" s="4">
        <v>4.2990000000000004</v>
      </c>
      <c r="I181" s="1">
        <f t="shared" si="17"/>
        <v>4299</v>
      </c>
    </row>
    <row r="182" spans="8:9" x14ac:dyDescent="0.25">
      <c r="H182" s="4">
        <v>5.3330000000000002</v>
      </c>
      <c r="I182" s="1">
        <f t="shared" si="17"/>
        <v>5333</v>
      </c>
    </row>
    <row r="183" spans="8:9" x14ac:dyDescent="0.25">
      <c r="H183" s="4">
        <v>0.55000000000000004</v>
      </c>
      <c r="I183" s="1">
        <f t="shared" si="17"/>
        <v>550</v>
      </c>
    </row>
    <row r="184" spans="8:9" x14ac:dyDescent="0.25">
      <c r="H184" s="4">
        <v>4.391</v>
      </c>
      <c r="I184" s="1">
        <f t="shared" si="17"/>
        <v>4391</v>
      </c>
    </row>
    <row r="185" spans="8:9" x14ac:dyDescent="0.25">
      <c r="H185" s="4">
        <v>8.7409999999999997</v>
      </c>
      <c r="I185" s="1">
        <f t="shared" si="17"/>
        <v>8741</v>
      </c>
    </row>
    <row r="186" spans="8:9" x14ac:dyDescent="0.25">
      <c r="H186" s="4">
        <v>6.6829999999999998</v>
      </c>
      <c r="I186" s="1">
        <f t="shared" si="17"/>
        <v>6683</v>
      </c>
    </row>
    <row r="187" spans="8:9" x14ac:dyDescent="0.25">
      <c r="H187" s="4">
        <v>8.5839999999999996</v>
      </c>
      <c r="I187" s="1">
        <f t="shared" si="17"/>
        <v>8584</v>
      </c>
    </row>
    <row r="188" spans="8:9" x14ac:dyDescent="0.25">
      <c r="H188" s="4">
        <v>5.08</v>
      </c>
      <c r="I188" s="1">
        <f t="shared" si="17"/>
        <v>5080</v>
      </c>
    </row>
    <row r="189" spans="8:9" x14ac:dyDescent="0.25">
      <c r="H189" s="4">
        <v>7.9509999999999996</v>
      </c>
      <c r="I189" s="1">
        <f t="shared" si="17"/>
        <v>7951</v>
      </c>
    </row>
    <row r="190" spans="8:9" x14ac:dyDescent="0.25">
      <c r="H190" s="4">
        <v>6.8049999999999997</v>
      </c>
      <c r="I190" s="1">
        <f t="shared" si="17"/>
        <v>6805</v>
      </c>
    </row>
    <row r="191" spans="8:9" x14ac:dyDescent="0.25">
      <c r="H191" s="4">
        <v>3.6549999999999998</v>
      </c>
      <c r="I191" s="1">
        <f t="shared" si="17"/>
        <v>3655</v>
      </c>
    </row>
    <row r="192" spans="8:9" x14ac:dyDescent="0.25">
      <c r="H192" s="4">
        <v>5.3949999999999996</v>
      </c>
      <c r="I192" s="1">
        <f t="shared" si="17"/>
        <v>5395</v>
      </c>
    </row>
    <row r="193" spans="8:9" x14ac:dyDescent="0.25">
      <c r="H193" s="4">
        <v>9.0519999999999996</v>
      </c>
      <c r="I193" s="1">
        <f t="shared" si="17"/>
        <v>9052</v>
      </c>
    </row>
    <row r="194" spans="8:9" x14ac:dyDescent="0.25">
      <c r="H194" s="4">
        <v>1.893</v>
      </c>
      <c r="I194" s="1">
        <f t="shared" si="17"/>
        <v>1893</v>
      </c>
    </row>
    <row r="195" spans="8:9" x14ac:dyDescent="0.25">
      <c r="H195" s="4">
        <v>7.6260000000000003</v>
      </c>
      <c r="I195" s="1">
        <f t="shared" ref="I195:I218" si="18">H195*1000</f>
        <v>7626</v>
      </c>
    </row>
    <row r="196" spans="8:9" x14ac:dyDescent="0.25">
      <c r="H196" s="4">
        <v>10.401999999999999</v>
      </c>
      <c r="I196" s="1">
        <f t="shared" si="18"/>
        <v>10402</v>
      </c>
    </row>
    <row r="197" spans="8:9" x14ac:dyDescent="0.25">
      <c r="H197" s="4">
        <v>7.87</v>
      </c>
      <c r="I197" s="1">
        <f t="shared" si="18"/>
        <v>7870</v>
      </c>
    </row>
    <row r="198" spans="8:9" x14ac:dyDescent="0.25">
      <c r="H198" s="4">
        <v>2.6269999999999998</v>
      </c>
      <c r="I198" s="1">
        <f t="shared" si="18"/>
        <v>2627</v>
      </c>
    </row>
    <row r="199" spans="8:9" x14ac:dyDescent="0.25">
      <c r="H199" s="4">
        <v>10.38</v>
      </c>
      <c r="I199" s="1">
        <f t="shared" si="18"/>
        <v>10380</v>
      </c>
    </row>
    <row r="200" spans="8:9" x14ac:dyDescent="0.25">
      <c r="H200" s="4">
        <v>6.9279999999999999</v>
      </c>
      <c r="I200" s="1">
        <f t="shared" si="18"/>
        <v>6928</v>
      </c>
    </row>
    <row r="201" spans="8:9" x14ac:dyDescent="0.25">
      <c r="H201" s="4">
        <v>3.5470000000000002</v>
      </c>
      <c r="I201" s="1">
        <f t="shared" si="18"/>
        <v>3547</v>
      </c>
    </row>
    <row r="202" spans="8:9" x14ac:dyDescent="0.25">
      <c r="H202" s="4">
        <v>7.1559999999999997</v>
      </c>
      <c r="I202" s="1">
        <f t="shared" si="18"/>
        <v>7156</v>
      </c>
    </row>
    <row r="203" spans="8:9" x14ac:dyDescent="0.25">
      <c r="H203" s="4">
        <v>10.247999999999999</v>
      </c>
      <c r="I203" s="1">
        <f t="shared" si="18"/>
        <v>10248</v>
      </c>
    </row>
    <row r="204" spans="8:9" x14ac:dyDescent="0.25">
      <c r="H204" s="4">
        <v>5.024</v>
      </c>
      <c r="I204" s="1">
        <f t="shared" si="18"/>
        <v>5024</v>
      </c>
    </row>
    <row r="205" spans="8:9" x14ac:dyDescent="0.25">
      <c r="H205" s="4">
        <v>0.72199999999999998</v>
      </c>
      <c r="I205" s="1">
        <f t="shared" si="18"/>
        <v>722</v>
      </c>
    </row>
    <row r="206" spans="8:9" x14ac:dyDescent="0.25">
      <c r="H206" s="4">
        <v>2.7349999999999999</v>
      </c>
      <c r="I206" s="1">
        <f t="shared" si="18"/>
        <v>2735</v>
      </c>
    </row>
    <row r="207" spans="8:9" x14ac:dyDescent="0.25">
      <c r="H207" s="4">
        <v>7.8410000000000002</v>
      </c>
      <c r="I207" s="1">
        <f t="shared" si="18"/>
        <v>7841</v>
      </c>
    </row>
    <row r="208" spans="8:9" x14ac:dyDescent="0.25">
      <c r="H208" s="4">
        <v>9.7460000000000004</v>
      </c>
      <c r="I208" s="1">
        <f t="shared" si="18"/>
        <v>9746</v>
      </c>
    </row>
    <row r="209" spans="8:9" x14ac:dyDescent="0.25">
      <c r="H209" s="4">
        <v>10.494999999999999</v>
      </c>
      <c r="I209" s="1">
        <f t="shared" si="18"/>
        <v>10495</v>
      </c>
    </row>
    <row r="210" spans="8:9" x14ac:dyDescent="0.25">
      <c r="H210" s="4">
        <v>1.411</v>
      </c>
      <c r="I210" s="1">
        <f t="shared" si="18"/>
        <v>1411</v>
      </c>
    </row>
    <row r="211" spans="8:9" x14ac:dyDescent="0.25">
      <c r="H211" s="4">
        <v>1.1759999999999999</v>
      </c>
      <c r="I211" s="1">
        <f t="shared" si="18"/>
        <v>1176</v>
      </c>
    </row>
    <row r="212" spans="8:9" x14ac:dyDescent="0.25">
      <c r="H212" s="4">
        <v>6.2869999999999999</v>
      </c>
      <c r="I212" s="1">
        <f t="shared" si="18"/>
        <v>6287</v>
      </c>
    </row>
    <row r="213" spans="8:9" x14ac:dyDescent="0.25">
      <c r="H213" s="4">
        <v>1.538</v>
      </c>
      <c r="I213" s="1">
        <f t="shared" si="18"/>
        <v>1538</v>
      </c>
    </row>
    <row r="214" spans="8:9" x14ac:dyDescent="0.25">
      <c r="H214" s="4">
        <v>10.477</v>
      </c>
      <c r="I214" s="1">
        <f t="shared" si="18"/>
        <v>10477</v>
      </c>
    </row>
    <row r="215" spans="8:9" x14ac:dyDescent="0.25">
      <c r="H215" s="4">
        <v>9.202</v>
      </c>
      <c r="I215" s="1">
        <f t="shared" si="18"/>
        <v>9202</v>
      </c>
    </row>
    <row r="216" spans="8:9" x14ac:dyDescent="0.25">
      <c r="H216" s="4">
        <v>0.72199999999999998</v>
      </c>
      <c r="I216" s="1">
        <f t="shared" si="18"/>
        <v>722</v>
      </c>
    </row>
    <row r="217" spans="8:9" x14ac:dyDescent="0.25">
      <c r="H217" s="4">
        <v>6.9619999999999997</v>
      </c>
      <c r="I217" s="1">
        <f t="shared" si="18"/>
        <v>6962</v>
      </c>
    </row>
    <row r="218" spans="8:9" x14ac:dyDescent="0.25">
      <c r="H218" s="4">
        <v>8.8740000000000006</v>
      </c>
      <c r="I218" s="1">
        <f t="shared" si="18"/>
        <v>8874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1642-D0D0-4771-81BE-327986E837B8}">
  <dimension ref="A1:S123"/>
  <sheetViews>
    <sheetView topLeftCell="A4" workbookViewId="0">
      <selection activeCell="F30" sqref="F30"/>
    </sheetView>
  </sheetViews>
  <sheetFormatPr defaultRowHeight="13.2" x14ac:dyDescent="0.25"/>
  <cols>
    <col min="1" max="1" width="5.88671875" style="1" customWidth="1"/>
    <col min="5" max="5" width="10" bestFit="1" customWidth="1"/>
    <col min="16" max="16" width="10.109375" bestFit="1" customWidth="1"/>
  </cols>
  <sheetData>
    <row r="1" spans="1:19" x14ac:dyDescent="0.25">
      <c r="Q1">
        <f>SUM(Q3:Q130)</f>
        <v>121</v>
      </c>
    </row>
    <row r="2" spans="1:19" s="3" customFormat="1" ht="39.6" x14ac:dyDescent="0.25">
      <c r="A2" s="2" t="s">
        <v>1</v>
      </c>
      <c r="C2" s="9" t="s">
        <v>2</v>
      </c>
      <c r="D2" s="1">
        <f>COUNT(Table2[Delay ms])</f>
        <v>121</v>
      </c>
      <c r="N2" s="3" t="s">
        <v>3</v>
      </c>
      <c r="O2" s="3" t="s">
        <v>4</v>
      </c>
      <c r="P2" s="3" t="s">
        <v>5</v>
      </c>
      <c r="Q2" s="3" t="str">
        <f>"Delay [ms] N="&amp;Q1</f>
        <v>Delay [ms] N=121</v>
      </c>
      <c r="R2" s="3" t="s">
        <v>6</v>
      </c>
      <c r="S2" s="3" t="s">
        <v>7</v>
      </c>
    </row>
    <row r="3" spans="1:19" x14ac:dyDescent="0.25">
      <c r="A3" s="1">
        <v>857</v>
      </c>
      <c r="C3" s="9" t="s">
        <v>3</v>
      </c>
      <c r="D3" s="1">
        <f>MIN(Table2[Delay ms])</f>
        <v>356</v>
      </c>
      <c r="M3" t="s">
        <v>9</v>
      </c>
      <c r="N3">
        <v>0</v>
      </c>
      <c r="O3">
        <f>N3+99.9</f>
        <v>99.9</v>
      </c>
      <c r="P3" t="str">
        <f>TEXT(N3,"0")&amp;".."&amp;TEXT(N4,"0")</f>
        <v>0..100</v>
      </c>
      <c r="Q3">
        <f>COUNTIFS(Table2[Delay ms],"&gt;="&amp;N3,Table2[Delay ms],"&lt;"&amp;O3)</f>
        <v>0</v>
      </c>
      <c r="R3">
        <f>1</f>
        <v>1</v>
      </c>
      <c r="S3">
        <f>40</f>
        <v>40</v>
      </c>
    </row>
    <row r="4" spans="1:19" x14ac:dyDescent="0.25">
      <c r="A4" s="1">
        <v>825</v>
      </c>
      <c r="C4" s="9" t="s">
        <v>4</v>
      </c>
      <c r="D4" s="1">
        <f>MAX(Table2[Delay ms])</f>
        <v>1080</v>
      </c>
      <c r="M4" t="s">
        <v>11</v>
      </c>
      <c r="N4">
        <f>N3+$O$3+0.1</f>
        <v>100</v>
      </c>
      <c r="O4">
        <f t="shared" ref="O4:O37" si="0">N4+99.9</f>
        <v>199.9</v>
      </c>
      <c r="P4" t="str">
        <f t="shared" ref="P4" si="1">TEXT(N4,"0")&amp;".."&amp;TEXT(N5,"0")</f>
        <v>100..200</v>
      </c>
      <c r="Q4">
        <f>COUNTIFS(Table2[Delay ms],"&gt;="&amp;N4,Table2[Delay ms],"&lt;"&amp;O4)</f>
        <v>0</v>
      </c>
      <c r="R4">
        <f>1</f>
        <v>1</v>
      </c>
      <c r="S4">
        <f>40</f>
        <v>40</v>
      </c>
    </row>
    <row r="5" spans="1:19" x14ac:dyDescent="0.25">
      <c r="A5" s="1">
        <v>872</v>
      </c>
      <c r="C5" s="9" t="s">
        <v>10</v>
      </c>
      <c r="D5" s="1">
        <f>AVERAGE(Table2[Delay ms])</f>
        <v>633.04958677685954</v>
      </c>
      <c r="E5" s="1">
        <f>D5-$D$6</f>
        <v>462.28442246398083</v>
      </c>
      <c r="F5" s="1">
        <f>E5-$D$6</f>
        <v>291.51925815110212</v>
      </c>
      <c r="G5" s="1">
        <f>F5-$D$6</f>
        <v>120.75409383822344</v>
      </c>
      <c r="N5">
        <f t="shared" ref="N5:N37" si="2">N4+$O$3+0.1</f>
        <v>200</v>
      </c>
      <c r="O5">
        <f t="shared" si="0"/>
        <v>299.89999999999998</v>
      </c>
      <c r="P5" t="str">
        <f t="shared" ref="P5:P37" si="3">TEXT(N5,"0")&amp;".."&amp;TEXT(N6,"0")</f>
        <v>200..300</v>
      </c>
      <c r="Q5">
        <f>COUNTIFS(Table2[Delay ms],"&gt;="&amp;N5,Table2[Delay ms],"&lt;"&amp;O5)</f>
        <v>0</v>
      </c>
      <c r="R5">
        <f>1</f>
        <v>1</v>
      </c>
      <c r="S5">
        <f>40</f>
        <v>40</v>
      </c>
    </row>
    <row r="6" spans="1:19" x14ac:dyDescent="0.25">
      <c r="A6" s="1">
        <v>843</v>
      </c>
      <c r="C6" s="9" t="s">
        <v>12</v>
      </c>
      <c r="D6" s="1">
        <f>_xlfn.STDEV.P(Table2[Delay ms])</f>
        <v>170.76516431287868</v>
      </c>
      <c r="E6">
        <f>D6/2</f>
        <v>85.382582156439341</v>
      </c>
      <c r="N6">
        <f t="shared" si="2"/>
        <v>300</v>
      </c>
      <c r="O6">
        <f t="shared" si="0"/>
        <v>399.9</v>
      </c>
      <c r="P6" t="str">
        <f t="shared" si="3"/>
        <v>300..400</v>
      </c>
      <c r="Q6">
        <f>COUNTIFS(Table2[Delay ms],"&gt;="&amp;N6,Table2[Delay ms],"&lt;"&amp;O6)</f>
        <v>8</v>
      </c>
      <c r="R6">
        <f>1</f>
        <v>1</v>
      </c>
      <c r="S6">
        <f>40</f>
        <v>40</v>
      </c>
    </row>
    <row r="7" spans="1:19" x14ac:dyDescent="0.25">
      <c r="A7" s="1">
        <v>538</v>
      </c>
      <c r="C7" s="9" t="s">
        <v>13</v>
      </c>
      <c r="D7" s="10">
        <f>D6*2</f>
        <v>341.53032862575736</v>
      </c>
      <c r="N7">
        <f t="shared" si="2"/>
        <v>400</v>
      </c>
      <c r="O7">
        <f t="shared" si="0"/>
        <v>499.9</v>
      </c>
      <c r="P7" t="str">
        <f t="shared" si="3"/>
        <v>400..500</v>
      </c>
      <c r="Q7">
        <f>COUNTIFS(Table2[Delay ms],"&gt;="&amp;N7,Table2[Delay ms],"&lt;"&amp;O7)</f>
        <v>20</v>
      </c>
      <c r="R7">
        <f>1</f>
        <v>1</v>
      </c>
      <c r="S7">
        <f>40</f>
        <v>40</v>
      </c>
    </row>
    <row r="8" spans="1:19" x14ac:dyDescent="0.25">
      <c r="A8" s="1">
        <v>543</v>
      </c>
      <c r="N8">
        <f t="shared" si="2"/>
        <v>500</v>
      </c>
      <c r="O8">
        <f t="shared" si="0"/>
        <v>599.9</v>
      </c>
      <c r="P8" t="str">
        <f t="shared" si="3"/>
        <v>500..600</v>
      </c>
      <c r="Q8">
        <f>COUNTIFS(Table2[Delay ms],"&gt;="&amp;N8,Table2[Delay ms],"&lt;"&amp;O8)</f>
        <v>36</v>
      </c>
      <c r="R8">
        <f>1</f>
        <v>1</v>
      </c>
      <c r="S8">
        <f>40</f>
        <v>40</v>
      </c>
    </row>
    <row r="9" spans="1:19" x14ac:dyDescent="0.25">
      <c r="A9" s="1">
        <v>853</v>
      </c>
      <c r="N9">
        <f t="shared" si="2"/>
        <v>600</v>
      </c>
      <c r="O9">
        <f t="shared" si="0"/>
        <v>699.9</v>
      </c>
      <c r="P9" t="str">
        <f t="shared" si="3"/>
        <v>600..700</v>
      </c>
      <c r="Q9">
        <f>COUNTIFS(Table2[Delay ms],"&gt;="&amp;N9,Table2[Delay ms],"&lt;"&amp;O9)</f>
        <v>11</v>
      </c>
      <c r="R9">
        <f>1</f>
        <v>1</v>
      </c>
      <c r="S9">
        <f>40</f>
        <v>40</v>
      </c>
    </row>
    <row r="10" spans="1:19" x14ac:dyDescent="0.25">
      <c r="A10" s="1">
        <v>840</v>
      </c>
      <c r="E10">
        <f>SUM(E11:E58)</f>
        <v>121</v>
      </c>
      <c r="F10" s="11"/>
      <c r="N10">
        <f t="shared" si="2"/>
        <v>700</v>
      </c>
      <c r="O10">
        <f t="shared" si="0"/>
        <v>799.9</v>
      </c>
      <c r="P10" t="str">
        <f t="shared" si="3"/>
        <v>700..800</v>
      </c>
      <c r="Q10">
        <f>COUNTIFS(Table2[Delay ms],"&gt;="&amp;N10,Table2[Delay ms],"&lt;"&amp;O10)</f>
        <v>11</v>
      </c>
      <c r="S10">
        <f>40</f>
        <v>40</v>
      </c>
    </row>
    <row r="11" spans="1:19" x14ac:dyDescent="0.25">
      <c r="A11" s="1">
        <v>871</v>
      </c>
      <c r="E11">
        <v>8</v>
      </c>
      <c r="F11" s="14">
        <f>SUM(E$11:E11)/$E$10</f>
        <v>6.6115702479338845E-2</v>
      </c>
      <c r="N11">
        <f t="shared" si="2"/>
        <v>800</v>
      </c>
      <c r="O11">
        <f t="shared" si="0"/>
        <v>899.9</v>
      </c>
      <c r="P11" t="str">
        <f t="shared" si="3"/>
        <v>800..900</v>
      </c>
      <c r="Q11">
        <f>COUNTIFS(Table2[Delay ms],"&gt;="&amp;N11,Table2[Delay ms],"&lt;"&amp;O11)</f>
        <v>32</v>
      </c>
      <c r="S11">
        <f>40</f>
        <v>40</v>
      </c>
    </row>
    <row r="12" spans="1:19" x14ac:dyDescent="0.25">
      <c r="A12" s="1">
        <v>602</v>
      </c>
      <c r="E12">
        <v>9</v>
      </c>
      <c r="F12" s="14">
        <f>SUM(E$11:E12)/$E$10</f>
        <v>0.14049586776859505</v>
      </c>
      <c r="N12">
        <f t="shared" si="2"/>
        <v>900</v>
      </c>
      <c r="O12">
        <f t="shared" si="0"/>
        <v>999.9</v>
      </c>
      <c r="P12" t="str">
        <f t="shared" si="3"/>
        <v>900..1000</v>
      </c>
      <c r="Q12">
        <f>COUNTIFS(Table2[Delay ms],"&gt;="&amp;N12,Table2[Delay ms],"&lt;"&amp;O12)</f>
        <v>2</v>
      </c>
      <c r="S12">
        <f>40</f>
        <v>40</v>
      </c>
    </row>
    <row r="13" spans="1:19" x14ac:dyDescent="0.25">
      <c r="A13" s="1">
        <v>556</v>
      </c>
      <c r="E13">
        <v>5</v>
      </c>
      <c r="F13" s="14">
        <f>SUM(E$11:E13)/$E$10</f>
        <v>0.18181818181818182</v>
      </c>
      <c r="N13">
        <f t="shared" si="2"/>
        <v>1000</v>
      </c>
      <c r="O13">
        <f t="shared" si="0"/>
        <v>1099.9000000000001</v>
      </c>
      <c r="P13" t="str">
        <f t="shared" si="3"/>
        <v>1000..1100</v>
      </c>
      <c r="Q13">
        <f>COUNTIFS(Table2[Delay ms],"&gt;="&amp;N13,Table2[Delay ms],"&lt;"&amp;O13)</f>
        <v>1</v>
      </c>
      <c r="S13">
        <f>40</f>
        <v>40</v>
      </c>
    </row>
    <row r="14" spans="1:19" x14ac:dyDescent="0.25">
      <c r="A14" s="1">
        <v>570</v>
      </c>
      <c r="E14">
        <v>4</v>
      </c>
      <c r="F14" s="14">
        <f>SUM(E$11:E14)/$E$10</f>
        <v>0.21487603305785125</v>
      </c>
      <c r="N14">
        <f t="shared" si="2"/>
        <v>1100</v>
      </c>
      <c r="O14">
        <f t="shared" si="0"/>
        <v>1199.9000000000001</v>
      </c>
      <c r="P14" t="str">
        <f t="shared" si="3"/>
        <v>1100..1200</v>
      </c>
      <c r="Q14">
        <f>COUNTIFS(Table2[Delay ms],"&gt;="&amp;N14,Table2[Delay ms],"&lt;"&amp;O14)</f>
        <v>0</v>
      </c>
      <c r="S14">
        <f>40</f>
        <v>40</v>
      </c>
    </row>
    <row r="15" spans="1:19" x14ac:dyDescent="0.25">
      <c r="A15" s="1">
        <v>572</v>
      </c>
      <c r="E15">
        <v>2</v>
      </c>
      <c r="F15" s="14">
        <f>SUM(E$11:E15)/$E$10</f>
        <v>0.23140495867768596</v>
      </c>
      <c r="N15">
        <f t="shared" si="2"/>
        <v>1200</v>
      </c>
      <c r="O15">
        <f t="shared" si="0"/>
        <v>1299.9000000000001</v>
      </c>
      <c r="P15" t="str">
        <f t="shared" si="3"/>
        <v>1200..1300</v>
      </c>
      <c r="Q15">
        <f>COUNTIFS(Table2[Delay ms],"&gt;="&amp;N15,Table2[Delay ms],"&lt;"&amp;O15)</f>
        <v>0</v>
      </c>
      <c r="S15">
        <f>40</f>
        <v>40</v>
      </c>
    </row>
    <row r="16" spans="1:19" x14ac:dyDescent="0.25">
      <c r="A16" s="1">
        <v>854</v>
      </c>
      <c r="E16">
        <v>10</v>
      </c>
      <c r="F16" s="14">
        <f>SUM(E$11:E16)/$E$10</f>
        <v>0.31404958677685951</v>
      </c>
      <c r="N16">
        <f t="shared" si="2"/>
        <v>1300</v>
      </c>
      <c r="O16">
        <f t="shared" si="0"/>
        <v>1399.9</v>
      </c>
      <c r="P16" t="str">
        <f t="shared" si="3"/>
        <v>1300..1400</v>
      </c>
      <c r="Q16">
        <f>COUNTIFS(Table2[Delay ms],"&gt;="&amp;N16,Table2[Delay ms],"&lt;"&amp;O16)</f>
        <v>0</v>
      </c>
    </row>
    <row r="17" spans="1:17" x14ac:dyDescent="0.25">
      <c r="A17" s="1">
        <v>571</v>
      </c>
      <c r="E17">
        <v>10</v>
      </c>
      <c r="F17" s="14">
        <f>SUM(E$11:E17)/$E$10</f>
        <v>0.39669421487603307</v>
      </c>
      <c r="N17">
        <f t="shared" si="2"/>
        <v>1400</v>
      </c>
      <c r="O17">
        <f t="shared" si="0"/>
        <v>1499.9</v>
      </c>
      <c r="P17" t="str">
        <f t="shared" si="3"/>
        <v>1400..1500</v>
      </c>
      <c r="Q17">
        <f>COUNTIFS(Table2[Delay ms],"&gt;="&amp;N17,Table2[Delay ms],"&lt;"&amp;O17)</f>
        <v>0</v>
      </c>
    </row>
    <row r="18" spans="1:17" x14ac:dyDescent="0.25">
      <c r="A18" s="1">
        <v>825</v>
      </c>
      <c r="E18">
        <v>9</v>
      </c>
      <c r="F18" s="14">
        <f>SUM(E$11:E18)/$E$10</f>
        <v>0.47107438016528924</v>
      </c>
      <c r="N18">
        <f t="shared" si="2"/>
        <v>1500</v>
      </c>
      <c r="O18">
        <f t="shared" si="0"/>
        <v>1599.9</v>
      </c>
      <c r="P18" t="str">
        <f t="shared" si="3"/>
        <v>1500..1600</v>
      </c>
      <c r="Q18">
        <f>COUNTIFS(Table2[Delay ms],"&gt;="&amp;N18,Table2[Delay ms],"&lt;"&amp;O18)</f>
        <v>0</v>
      </c>
    </row>
    <row r="19" spans="1:17" x14ac:dyDescent="0.25">
      <c r="A19" s="1">
        <v>536</v>
      </c>
      <c r="E19">
        <v>7</v>
      </c>
      <c r="F19" s="14">
        <f>SUM(E$11:E19)/$E$10</f>
        <v>0.52892561983471076</v>
      </c>
      <c r="N19">
        <f t="shared" si="2"/>
        <v>1600</v>
      </c>
      <c r="O19">
        <f t="shared" si="0"/>
        <v>1699.9</v>
      </c>
      <c r="P19" t="str">
        <f t="shared" si="3"/>
        <v>1600..1700</v>
      </c>
      <c r="Q19">
        <f>COUNTIFS(Table2[Delay ms],"&gt;="&amp;N19,Table2[Delay ms],"&lt;"&amp;O19)</f>
        <v>0</v>
      </c>
    </row>
    <row r="20" spans="1:17" x14ac:dyDescent="0.25">
      <c r="A20" s="1">
        <v>561</v>
      </c>
      <c r="E20">
        <v>4</v>
      </c>
      <c r="F20" s="14">
        <f>SUM(E$11:E20)/$E$10</f>
        <v>0.56198347107438018</v>
      </c>
      <c r="N20">
        <f t="shared" si="2"/>
        <v>1700</v>
      </c>
      <c r="O20">
        <f t="shared" si="0"/>
        <v>1799.9</v>
      </c>
      <c r="P20" t="str">
        <f t="shared" si="3"/>
        <v>1700..1800</v>
      </c>
      <c r="Q20">
        <f>COUNTIFS(Table2[Delay ms],"&gt;="&amp;N20,Table2[Delay ms],"&lt;"&amp;O20)</f>
        <v>0</v>
      </c>
    </row>
    <row r="21" spans="1:17" x14ac:dyDescent="0.25">
      <c r="A21" s="1">
        <v>848</v>
      </c>
      <c r="E21">
        <v>1</v>
      </c>
      <c r="F21" s="14">
        <f>SUM(E$11:E21)/$E$10</f>
        <v>0.57024793388429751</v>
      </c>
      <c r="N21">
        <f t="shared" si="2"/>
        <v>1800</v>
      </c>
      <c r="O21">
        <f t="shared" si="0"/>
        <v>1899.9</v>
      </c>
      <c r="P21" t="str">
        <f t="shared" si="3"/>
        <v>1800..1900</v>
      </c>
      <c r="Q21">
        <f>COUNTIFS(Table2[Delay ms],"&gt;="&amp;N21,Table2[Delay ms],"&lt;"&amp;O21)</f>
        <v>0</v>
      </c>
    </row>
    <row r="22" spans="1:17" x14ac:dyDescent="0.25">
      <c r="A22" s="1">
        <v>570</v>
      </c>
      <c r="E22">
        <v>0</v>
      </c>
      <c r="F22" s="14">
        <f>SUM(E$11:E22)/$E$10</f>
        <v>0.57024793388429751</v>
      </c>
      <c r="N22">
        <f t="shared" si="2"/>
        <v>1900</v>
      </c>
      <c r="O22">
        <f t="shared" si="0"/>
        <v>1999.9</v>
      </c>
      <c r="P22" t="str">
        <f t="shared" si="3"/>
        <v>1900..2000</v>
      </c>
      <c r="Q22">
        <f>COUNTIFS(Table2[Delay ms],"&gt;="&amp;N22,Table2[Delay ms],"&lt;"&amp;O22)</f>
        <v>0</v>
      </c>
    </row>
    <row r="23" spans="1:17" x14ac:dyDescent="0.25">
      <c r="A23" s="1">
        <v>425</v>
      </c>
      <c r="E23">
        <v>6</v>
      </c>
      <c r="F23" s="14">
        <f>SUM(E$11:E23)/$E$10</f>
        <v>0.6198347107438017</v>
      </c>
      <c r="N23">
        <f t="shared" si="2"/>
        <v>2000</v>
      </c>
      <c r="O23">
        <f t="shared" si="0"/>
        <v>2099.9</v>
      </c>
      <c r="P23" t="str">
        <f t="shared" si="3"/>
        <v>2000..2100</v>
      </c>
      <c r="Q23">
        <f>COUNTIFS(Table2[Delay ms],"&gt;="&amp;N23,Table2[Delay ms],"&lt;"&amp;O23)</f>
        <v>0</v>
      </c>
    </row>
    <row r="24" spans="1:17" x14ac:dyDescent="0.25">
      <c r="A24" s="1">
        <v>471</v>
      </c>
      <c r="E24">
        <v>5</v>
      </c>
      <c r="F24" s="14">
        <f>SUM(E$11:E24)/$E$10</f>
        <v>0.66115702479338845</v>
      </c>
      <c r="N24">
        <f t="shared" si="2"/>
        <v>2100</v>
      </c>
      <c r="O24">
        <f t="shared" si="0"/>
        <v>2199.9</v>
      </c>
      <c r="P24" t="str">
        <f t="shared" si="3"/>
        <v>2100..2200</v>
      </c>
      <c r="Q24">
        <f>COUNTIFS(Table2[Delay ms],"&gt;="&amp;N24,Table2[Delay ms],"&lt;"&amp;O24)</f>
        <v>0</v>
      </c>
    </row>
    <row r="25" spans="1:17" x14ac:dyDescent="0.25">
      <c r="A25" s="1">
        <v>394</v>
      </c>
      <c r="E25">
        <v>2</v>
      </c>
      <c r="F25" s="14">
        <f>SUM(E$11:E25)/$E$10</f>
        <v>0.6776859504132231</v>
      </c>
      <c r="N25">
        <f t="shared" si="2"/>
        <v>2200</v>
      </c>
      <c r="O25">
        <f t="shared" si="0"/>
        <v>2299.9</v>
      </c>
      <c r="P25" t="str">
        <f t="shared" si="3"/>
        <v>2200..2300</v>
      </c>
      <c r="Q25">
        <f>COUNTIFS(Table2[Delay ms],"&gt;="&amp;N25,Table2[Delay ms],"&lt;"&amp;O25)</f>
        <v>0</v>
      </c>
    </row>
    <row r="26" spans="1:17" x14ac:dyDescent="0.25">
      <c r="A26" s="1">
        <v>444</v>
      </c>
      <c r="E26">
        <v>4</v>
      </c>
      <c r="F26" s="14">
        <f>SUM(E$11:E26)/$E$10</f>
        <v>0.71074380165289253</v>
      </c>
      <c r="N26">
        <f t="shared" si="2"/>
        <v>2300</v>
      </c>
      <c r="O26">
        <f t="shared" si="0"/>
        <v>2399.9</v>
      </c>
      <c r="P26" t="str">
        <f t="shared" si="3"/>
        <v>2300..2400</v>
      </c>
      <c r="Q26">
        <f>COUNTIFS(Table2[Delay ms],"&gt;="&amp;N26,Table2[Delay ms],"&lt;"&amp;O26)</f>
        <v>0</v>
      </c>
    </row>
    <row r="27" spans="1:17" x14ac:dyDescent="0.25">
      <c r="A27" s="1">
        <v>452</v>
      </c>
      <c r="E27">
        <v>1</v>
      </c>
      <c r="F27" s="14">
        <f>SUM(E$11:E27)/$E$10</f>
        <v>0.71900826446280997</v>
      </c>
      <c r="N27">
        <f t="shared" si="2"/>
        <v>2400</v>
      </c>
      <c r="O27">
        <f t="shared" si="0"/>
        <v>2499.9</v>
      </c>
      <c r="P27" t="str">
        <f t="shared" si="3"/>
        <v>2400..2500</v>
      </c>
      <c r="Q27">
        <f>COUNTIFS(Table2[Delay ms],"&gt;="&amp;N27,Table2[Delay ms],"&lt;"&amp;O27)</f>
        <v>0</v>
      </c>
    </row>
    <row r="28" spans="1:17" x14ac:dyDescent="0.25">
      <c r="A28" s="1">
        <v>427</v>
      </c>
      <c r="E28">
        <v>7</v>
      </c>
      <c r="F28" s="14">
        <f>SUM(E$11:E28)/$E$10</f>
        <v>0.77685950413223137</v>
      </c>
      <c r="N28">
        <f t="shared" si="2"/>
        <v>2500</v>
      </c>
      <c r="O28">
        <f t="shared" si="0"/>
        <v>2599.9</v>
      </c>
      <c r="P28" t="str">
        <f t="shared" si="3"/>
        <v>2500..2600</v>
      </c>
      <c r="Q28">
        <f>COUNTIFS(Table2[Delay ms],"&gt;="&amp;N28,Table2[Delay ms],"&lt;"&amp;O28)</f>
        <v>0</v>
      </c>
    </row>
    <row r="29" spans="1:17" x14ac:dyDescent="0.25">
      <c r="A29" s="1">
        <v>770</v>
      </c>
      <c r="E29">
        <v>12</v>
      </c>
      <c r="F29" s="14">
        <f>SUM(E$11:E29)/$E$10</f>
        <v>0.87603305785123964</v>
      </c>
      <c r="N29">
        <f t="shared" si="2"/>
        <v>2600</v>
      </c>
      <c r="O29">
        <f t="shared" si="0"/>
        <v>2699.9</v>
      </c>
      <c r="P29" t="str">
        <f t="shared" si="3"/>
        <v>2600..2700</v>
      </c>
      <c r="Q29">
        <f>COUNTIFS(Table2[Delay ms],"&gt;="&amp;N29,Table2[Delay ms],"&lt;"&amp;O29)</f>
        <v>0</v>
      </c>
    </row>
    <row r="30" spans="1:17" x14ac:dyDescent="0.25">
      <c r="A30" s="1">
        <v>460</v>
      </c>
      <c r="E30">
        <v>11</v>
      </c>
      <c r="F30" s="14">
        <f>SUM(E$11:E30)/$E$10</f>
        <v>0.96694214876033058</v>
      </c>
      <c r="N30">
        <f t="shared" si="2"/>
        <v>2700</v>
      </c>
      <c r="O30">
        <f t="shared" si="0"/>
        <v>2799.9</v>
      </c>
      <c r="P30" t="str">
        <f t="shared" si="3"/>
        <v>2700..2800</v>
      </c>
      <c r="Q30">
        <f>COUNTIFS(Table2[Delay ms],"&gt;="&amp;N30,Table2[Delay ms],"&lt;"&amp;O30)</f>
        <v>0</v>
      </c>
    </row>
    <row r="31" spans="1:17" x14ac:dyDescent="0.25">
      <c r="A31" s="1">
        <v>764</v>
      </c>
      <c r="E31">
        <v>1</v>
      </c>
      <c r="F31" s="14">
        <f>SUM(E$11:E31)/$E$10</f>
        <v>0.97520661157024791</v>
      </c>
      <c r="N31">
        <f t="shared" si="2"/>
        <v>2800</v>
      </c>
      <c r="O31">
        <f t="shared" si="0"/>
        <v>2899.9</v>
      </c>
      <c r="P31" t="str">
        <f t="shared" si="3"/>
        <v>2800..2900</v>
      </c>
      <c r="Q31">
        <f>COUNTIFS(Table2[Delay ms],"&gt;="&amp;N31,Table2[Delay ms],"&lt;"&amp;O31)</f>
        <v>0</v>
      </c>
    </row>
    <row r="32" spans="1:17" x14ac:dyDescent="0.25">
      <c r="A32" s="1">
        <v>447</v>
      </c>
      <c r="E32">
        <v>2</v>
      </c>
      <c r="F32" s="14">
        <f>SUM(E$11:E32)/$E$10</f>
        <v>0.99173553719008267</v>
      </c>
      <c r="N32">
        <f t="shared" si="2"/>
        <v>2900</v>
      </c>
      <c r="O32">
        <f t="shared" si="0"/>
        <v>2999.9</v>
      </c>
      <c r="P32" t="str">
        <f t="shared" si="3"/>
        <v>2900..3000</v>
      </c>
      <c r="Q32">
        <f>COUNTIFS(Table2[Delay ms],"&gt;="&amp;N32,Table2[Delay ms],"&lt;"&amp;O32)</f>
        <v>0</v>
      </c>
    </row>
    <row r="33" spans="1:17" x14ac:dyDescent="0.25">
      <c r="A33" s="1">
        <v>711</v>
      </c>
      <c r="E33">
        <v>0</v>
      </c>
      <c r="F33" s="14">
        <f>SUM(E$11:E33)/$E$10</f>
        <v>0.99173553719008267</v>
      </c>
      <c r="N33">
        <f t="shared" si="2"/>
        <v>3000</v>
      </c>
      <c r="O33">
        <f t="shared" si="0"/>
        <v>3099.9</v>
      </c>
      <c r="P33" t="str">
        <f t="shared" si="3"/>
        <v>3000..3100</v>
      </c>
      <c r="Q33">
        <f>COUNTIFS(Table2[Delay ms],"&gt;="&amp;N33,Table2[Delay ms],"&lt;"&amp;O33)</f>
        <v>0</v>
      </c>
    </row>
    <row r="34" spans="1:17" x14ac:dyDescent="0.25">
      <c r="A34" s="1">
        <v>736</v>
      </c>
      <c r="E34">
        <v>0</v>
      </c>
      <c r="F34" s="14">
        <f>SUM(E$11:E34)/$E$10</f>
        <v>0.99173553719008267</v>
      </c>
      <c r="N34">
        <f t="shared" si="2"/>
        <v>3100</v>
      </c>
      <c r="O34">
        <f t="shared" si="0"/>
        <v>3199.9</v>
      </c>
      <c r="P34" t="str">
        <f t="shared" si="3"/>
        <v>3100..3200</v>
      </c>
      <c r="Q34">
        <f>COUNTIFS(Table2[Delay ms],"&gt;="&amp;N34,Table2[Delay ms],"&lt;"&amp;O34)</f>
        <v>0</v>
      </c>
    </row>
    <row r="35" spans="1:17" x14ac:dyDescent="0.25">
      <c r="A35" s="1">
        <v>366</v>
      </c>
      <c r="E35">
        <v>0</v>
      </c>
      <c r="F35" s="14">
        <f>SUM(E$11:E35)/$E$10</f>
        <v>0.99173553719008267</v>
      </c>
      <c r="N35">
        <f t="shared" si="2"/>
        <v>3200</v>
      </c>
      <c r="O35">
        <f t="shared" si="0"/>
        <v>3299.9</v>
      </c>
      <c r="P35" t="str">
        <f t="shared" si="3"/>
        <v>3200..3300</v>
      </c>
      <c r="Q35">
        <f>COUNTIFS(Table2[Delay ms],"&gt;="&amp;N35,Table2[Delay ms],"&lt;"&amp;O35)</f>
        <v>0</v>
      </c>
    </row>
    <row r="36" spans="1:17" x14ac:dyDescent="0.25">
      <c r="A36" s="1">
        <v>800</v>
      </c>
      <c r="E36">
        <v>0</v>
      </c>
      <c r="F36" s="14">
        <f>SUM(E$11:E36)/$E$10</f>
        <v>0.99173553719008267</v>
      </c>
      <c r="N36">
        <f t="shared" si="2"/>
        <v>3300</v>
      </c>
      <c r="O36">
        <f t="shared" si="0"/>
        <v>3399.9</v>
      </c>
      <c r="P36" t="str">
        <f t="shared" si="3"/>
        <v>3300..3400</v>
      </c>
      <c r="Q36">
        <f>COUNTIFS(Table2[Delay ms],"&gt;="&amp;N36,Table2[Delay ms],"&lt;"&amp;O36)</f>
        <v>0</v>
      </c>
    </row>
    <row r="37" spans="1:17" x14ac:dyDescent="0.25">
      <c r="A37" s="1">
        <v>395</v>
      </c>
      <c r="E37">
        <v>0</v>
      </c>
      <c r="F37" s="14">
        <f>SUM(E$11:E37)/$E$10</f>
        <v>0.99173553719008267</v>
      </c>
      <c r="N37">
        <f t="shared" si="2"/>
        <v>3400</v>
      </c>
      <c r="O37">
        <f t="shared" si="0"/>
        <v>3499.9</v>
      </c>
      <c r="P37" t="str">
        <f t="shared" si="3"/>
        <v>3400..0</v>
      </c>
      <c r="Q37">
        <f>COUNTIFS(Table2[Delay ms],"&gt;="&amp;N37,Table2[Delay ms],"&lt;"&amp;O37)</f>
        <v>0</v>
      </c>
    </row>
    <row r="38" spans="1:17" x14ac:dyDescent="0.25">
      <c r="A38" s="1">
        <v>357</v>
      </c>
      <c r="E38">
        <v>0</v>
      </c>
      <c r="F38" s="14">
        <f>SUM(E$11:E38)/$E$10</f>
        <v>0.99173553719008267</v>
      </c>
    </row>
    <row r="39" spans="1:17" x14ac:dyDescent="0.25">
      <c r="A39" s="1">
        <v>459</v>
      </c>
      <c r="E39">
        <v>1</v>
      </c>
      <c r="F39" s="11">
        <f>SUM(E$11:E39)/$E$10</f>
        <v>1</v>
      </c>
    </row>
    <row r="40" spans="1:17" x14ac:dyDescent="0.25">
      <c r="A40" s="1">
        <v>407</v>
      </c>
    </row>
    <row r="41" spans="1:17" x14ac:dyDescent="0.25">
      <c r="A41" s="1">
        <v>681</v>
      </c>
    </row>
    <row r="42" spans="1:17" x14ac:dyDescent="0.25">
      <c r="A42" s="1">
        <v>433</v>
      </c>
    </row>
    <row r="43" spans="1:17" x14ac:dyDescent="0.25">
      <c r="A43" s="1">
        <v>690</v>
      </c>
    </row>
    <row r="44" spans="1:17" x14ac:dyDescent="0.25">
      <c r="A44" s="1">
        <v>364</v>
      </c>
    </row>
    <row r="45" spans="1:17" x14ac:dyDescent="0.25">
      <c r="A45" s="1">
        <v>416</v>
      </c>
    </row>
    <row r="46" spans="1:17" x14ac:dyDescent="0.25">
      <c r="A46" s="1">
        <v>696</v>
      </c>
    </row>
    <row r="47" spans="1:17" x14ac:dyDescent="0.25">
      <c r="A47" s="1">
        <v>708</v>
      </c>
    </row>
    <row r="48" spans="1:17" x14ac:dyDescent="0.25">
      <c r="A48" s="1">
        <v>381</v>
      </c>
    </row>
    <row r="49" spans="1:1" x14ac:dyDescent="0.25">
      <c r="A49" s="1">
        <v>684</v>
      </c>
    </row>
    <row r="50" spans="1:1" x14ac:dyDescent="0.25">
      <c r="A50" s="1">
        <v>688</v>
      </c>
    </row>
    <row r="51" spans="1:1" x14ac:dyDescent="0.25">
      <c r="A51" s="1">
        <v>716</v>
      </c>
    </row>
    <row r="52" spans="1:1" x14ac:dyDescent="0.25">
      <c r="A52" s="1">
        <v>356</v>
      </c>
    </row>
    <row r="53" spans="1:1" x14ac:dyDescent="0.25">
      <c r="A53" s="1">
        <v>423</v>
      </c>
    </row>
    <row r="54" spans="1:1" x14ac:dyDescent="0.25">
      <c r="A54" s="1">
        <v>704</v>
      </c>
    </row>
    <row r="55" spans="1:1" x14ac:dyDescent="0.25">
      <c r="A55" s="1">
        <v>407</v>
      </c>
    </row>
    <row r="56" spans="1:1" x14ac:dyDescent="0.25">
      <c r="A56" s="1">
        <v>755</v>
      </c>
    </row>
    <row r="57" spans="1:1" x14ac:dyDescent="0.25">
      <c r="A57" s="1">
        <v>1080</v>
      </c>
    </row>
    <row r="58" spans="1:1" x14ac:dyDescent="0.25">
      <c r="A58" s="1">
        <v>705</v>
      </c>
    </row>
    <row r="59" spans="1:1" x14ac:dyDescent="0.25">
      <c r="A59" s="1">
        <v>434</v>
      </c>
    </row>
    <row r="60" spans="1:1" x14ac:dyDescent="0.25">
      <c r="A60" s="1">
        <v>407</v>
      </c>
    </row>
    <row r="61" spans="1:1" x14ac:dyDescent="0.25">
      <c r="A61" s="1">
        <v>416</v>
      </c>
    </row>
    <row r="62" spans="1:1" x14ac:dyDescent="0.25">
      <c r="A62" s="1">
        <v>384</v>
      </c>
    </row>
    <row r="63" spans="1:1" x14ac:dyDescent="0.25">
      <c r="A63" s="1">
        <v>406</v>
      </c>
    </row>
    <row r="64" spans="1:1" x14ac:dyDescent="0.25">
      <c r="A64" s="1">
        <v>419</v>
      </c>
    </row>
    <row r="65" spans="1:1" x14ac:dyDescent="0.25">
      <c r="A65" s="1">
        <v>730</v>
      </c>
    </row>
    <row r="66" spans="1:1" x14ac:dyDescent="0.25">
      <c r="A66" s="1">
        <v>818</v>
      </c>
    </row>
    <row r="67" spans="1:1" x14ac:dyDescent="0.25">
      <c r="A67" s="1">
        <v>690</v>
      </c>
    </row>
    <row r="68" spans="1:1" x14ac:dyDescent="0.25">
      <c r="A68" s="1">
        <v>529</v>
      </c>
    </row>
    <row r="69" spans="1:1" x14ac:dyDescent="0.25">
      <c r="A69" s="1">
        <v>876</v>
      </c>
    </row>
    <row r="70" spans="1:1" x14ac:dyDescent="0.25">
      <c r="A70" s="1">
        <v>584</v>
      </c>
    </row>
    <row r="71" spans="1:1" x14ac:dyDescent="0.25">
      <c r="A71" s="1">
        <v>542</v>
      </c>
    </row>
    <row r="72" spans="1:1" x14ac:dyDescent="0.25">
      <c r="A72" s="1">
        <v>867</v>
      </c>
    </row>
    <row r="73" spans="1:1" x14ac:dyDescent="0.25">
      <c r="A73" s="1">
        <v>635</v>
      </c>
    </row>
    <row r="74" spans="1:1" x14ac:dyDescent="0.25">
      <c r="A74" s="1">
        <v>614</v>
      </c>
    </row>
    <row r="75" spans="1:1" x14ac:dyDescent="0.25">
      <c r="A75" s="1">
        <v>863</v>
      </c>
    </row>
    <row r="76" spans="1:1" x14ac:dyDescent="0.25">
      <c r="A76" s="1">
        <v>846</v>
      </c>
    </row>
    <row r="77" spans="1:1" x14ac:dyDescent="0.25">
      <c r="A77" s="1">
        <v>592</v>
      </c>
    </row>
    <row r="78" spans="1:1" x14ac:dyDescent="0.25">
      <c r="A78" s="1">
        <v>530</v>
      </c>
    </row>
    <row r="79" spans="1:1" x14ac:dyDescent="0.25">
      <c r="A79" s="1">
        <v>852</v>
      </c>
    </row>
    <row r="80" spans="1:1" x14ac:dyDescent="0.25">
      <c r="A80" s="1">
        <v>832</v>
      </c>
    </row>
    <row r="81" spans="1:1" x14ac:dyDescent="0.25">
      <c r="A81" s="1">
        <v>523</v>
      </c>
    </row>
    <row r="82" spans="1:1" x14ac:dyDescent="0.25">
      <c r="A82" s="1">
        <v>850</v>
      </c>
    </row>
    <row r="83" spans="1:1" x14ac:dyDescent="0.25">
      <c r="A83" s="1">
        <v>523</v>
      </c>
    </row>
    <row r="84" spans="1:1" x14ac:dyDescent="0.25">
      <c r="A84" s="1">
        <v>843</v>
      </c>
    </row>
    <row r="85" spans="1:1" x14ac:dyDescent="0.25">
      <c r="A85" s="1">
        <v>872</v>
      </c>
    </row>
    <row r="86" spans="1:1" x14ac:dyDescent="0.25">
      <c r="A86" s="1">
        <v>804</v>
      </c>
    </row>
    <row r="87" spans="1:1" x14ac:dyDescent="0.25">
      <c r="A87" s="1">
        <v>602</v>
      </c>
    </row>
    <row r="88" spans="1:1" x14ac:dyDescent="0.25">
      <c r="A88" s="1">
        <v>499</v>
      </c>
    </row>
    <row r="89" spans="1:1" x14ac:dyDescent="0.25">
      <c r="A89" s="1">
        <v>559</v>
      </c>
    </row>
    <row r="90" spans="1:1" x14ac:dyDescent="0.25">
      <c r="A90" s="1">
        <v>768</v>
      </c>
    </row>
    <row r="91" spans="1:1" x14ac:dyDescent="0.25">
      <c r="A91" s="1">
        <v>847</v>
      </c>
    </row>
    <row r="92" spans="1:1" x14ac:dyDescent="0.25">
      <c r="A92" s="1">
        <v>843</v>
      </c>
    </row>
    <row r="93" spans="1:1" x14ac:dyDescent="0.25">
      <c r="A93" s="1">
        <v>502</v>
      </c>
    </row>
    <row r="94" spans="1:1" x14ac:dyDescent="0.25">
      <c r="A94" s="1">
        <v>829</v>
      </c>
    </row>
    <row r="95" spans="1:1" x14ac:dyDescent="0.25">
      <c r="A95" s="1">
        <v>590</v>
      </c>
    </row>
    <row r="96" spans="1:1" x14ac:dyDescent="0.25">
      <c r="A96" s="1">
        <v>525</v>
      </c>
    </row>
    <row r="97" spans="1:1" x14ac:dyDescent="0.25">
      <c r="A97" s="1">
        <v>518</v>
      </c>
    </row>
    <row r="98" spans="1:1" x14ac:dyDescent="0.25">
      <c r="A98" s="1">
        <v>513</v>
      </c>
    </row>
    <row r="99" spans="1:1" x14ac:dyDescent="0.25">
      <c r="A99" s="1">
        <v>546</v>
      </c>
    </row>
    <row r="100" spans="1:1" x14ac:dyDescent="0.25">
      <c r="A100" s="1">
        <v>533</v>
      </c>
    </row>
    <row r="101" spans="1:1" x14ac:dyDescent="0.25">
      <c r="A101" s="1">
        <v>824</v>
      </c>
    </row>
    <row r="102" spans="1:1" x14ac:dyDescent="0.25">
      <c r="A102" s="1">
        <v>827</v>
      </c>
    </row>
    <row r="103" spans="1:1" x14ac:dyDescent="0.25">
      <c r="A103" s="1">
        <v>813</v>
      </c>
    </row>
    <row r="104" spans="1:1" x14ac:dyDescent="0.25">
      <c r="A104" s="1">
        <v>501</v>
      </c>
    </row>
    <row r="105" spans="1:1" x14ac:dyDescent="0.25">
      <c r="A105" s="1">
        <v>512</v>
      </c>
    </row>
    <row r="106" spans="1:1" x14ac:dyDescent="0.25">
      <c r="A106" s="1">
        <v>506</v>
      </c>
    </row>
    <row r="107" spans="1:1" x14ac:dyDescent="0.25">
      <c r="A107" s="1">
        <v>493</v>
      </c>
    </row>
    <row r="108" spans="1:1" x14ac:dyDescent="0.25">
      <c r="A108" s="1">
        <v>515</v>
      </c>
    </row>
    <row r="109" spans="1:1" x14ac:dyDescent="0.25">
      <c r="A109" s="1">
        <v>834</v>
      </c>
    </row>
    <row r="110" spans="1:1" x14ac:dyDescent="0.25">
      <c r="A110" s="1">
        <v>599</v>
      </c>
    </row>
    <row r="111" spans="1:1" x14ac:dyDescent="0.25">
      <c r="A111" s="1">
        <v>822</v>
      </c>
    </row>
    <row r="112" spans="1:1" x14ac:dyDescent="0.25">
      <c r="A112" s="1">
        <v>869</v>
      </c>
    </row>
    <row r="113" spans="1:1" x14ac:dyDescent="0.25">
      <c r="A113" s="1">
        <v>859</v>
      </c>
    </row>
    <row r="114" spans="1:1" x14ac:dyDescent="0.25">
      <c r="A114" s="1">
        <v>578</v>
      </c>
    </row>
    <row r="115" spans="1:1" x14ac:dyDescent="0.25">
      <c r="A115" s="1">
        <v>549</v>
      </c>
    </row>
    <row r="116" spans="1:1" x14ac:dyDescent="0.25">
      <c r="A116" s="1">
        <v>920</v>
      </c>
    </row>
    <row r="117" spans="1:1" x14ac:dyDescent="0.25">
      <c r="A117" s="1">
        <v>566</v>
      </c>
    </row>
    <row r="118" spans="1:1" x14ac:dyDescent="0.25">
      <c r="A118" s="1">
        <v>605</v>
      </c>
    </row>
    <row r="119" spans="1:1" x14ac:dyDescent="0.25">
      <c r="A119" s="1">
        <v>908</v>
      </c>
    </row>
    <row r="120" spans="1:1" x14ac:dyDescent="0.25">
      <c r="A120" s="1">
        <v>582</v>
      </c>
    </row>
    <row r="121" spans="1:1" x14ac:dyDescent="0.25">
      <c r="A121" s="1">
        <v>545</v>
      </c>
    </row>
    <row r="122" spans="1:1" x14ac:dyDescent="0.25">
      <c r="A122" s="1">
        <v>557</v>
      </c>
    </row>
    <row r="123" spans="1:1" x14ac:dyDescent="0.25">
      <c r="A123" s="1">
        <v>581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B391-5AB4-404B-A06B-CF1BF8F03501}">
  <dimension ref="A1:S149"/>
  <sheetViews>
    <sheetView tabSelected="1" topLeftCell="A17" zoomScaleNormal="100" workbookViewId="0">
      <selection activeCell="H10" sqref="H10:H18"/>
    </sheetView>
  </sheetViews>
  <sheetFormatPr defaultRowHeight="13.2" x14ac:dyDescent="0.25"/>
  <cols>
    <col min="1" max="1" width="6.6640625" style="1" customWidth="1"/>
    <col min="16" max="16" width="10.109375" bestFit="1" customWidth="1"/>
  </cols>
  <sheetData>
    <row r="1" spans="1:19" x14ac:dyDescent="0.25">
      <c r="A1" s="1" t="s">
        <v>16</v>
      </c>
      <c r="Q1">
        <f>SUM(Q3:Q130)</f>
        <v>147</v>
      </c>
    </row>
    <row r="2" spans="1:19" s="3" customFormat="1" ht="39.6" x14ac:dyDescent="0.25">
      <c r="A2" s="2" t="s">
        <v>1</v>
      </c>
      <c r="B2" s="3" t="s">
        <v>17</v>
      </c>
      <c r="C2" s="9" t="s">
        <v>2</v>
      </c>
      <c r="D2" s="1">
        <f>COUNT(Table1[Delay ms])</f>
        <v>147</v>
      </c>
      <c r="N2" s="3" t="s">
        <v>3</v>
      </c>
      <c r="O2" s="3" t="s">
        <v>4</v>
      </c>
      <c r="P2" s="3" t="s">
        <v>5</v>
      </c>
      <c r="Q2" s="3" t="str">
        <f>"Delay [ms] N="&amp;Q1</f>
        <v>Delay [ms] N=147</v>
      </c>
      <c r="R2" s="3" t="s">
        <v>6</v>
      </c>
      <c r="S2" s="3" t="s">
        <v>7</v>
      </c>
    </row>
    <row r="3" spans="1:19" x14ac:dyDescent="0.25">
      <c r="A3" s="1">
        <v>202</v>
      </c>
      <c r="C3" s="9" t="s">
        <v>3</v>
      </c>
      <c r="D3" s="1">
        <f>MIN(Table1[Delay ms])</f>
        <v>137</v>
      </c>
      <c r="M3" t="s">
        <v>9</v>
      </c>
      <c r="N3">
        <v>0</v>
      </c>
      <c r="O3">
        <f>N3+99.9</f>
        <v>99.9</v>
      </c>
      <c r="P3" t="str">
        <f>TEXT(N3,"0")&amp;".."&amp;TEXT(N4,"0")</f>
        <v>0..100</v>
      </c>
      <c r="Q3">
        <f>COUNTIFS(Table1[Delay ms],"&gt;="&amp;N3,Table1[Delay ms],"&lt;"&amp;O3)</f>
        <v>0</v>
      </c>
      <c r="R3">
        <f>IF(O3&lt;700,1,"")</f>
        <v>1</v>
      </c>
      <c r="S3">
        <f>40</f>
        <v>40</v>
      </c>
    </row>
    <row r="4" spans="1:19" x14ac:dyDescent="0.25">
      <c r="A4" s="1">
        <v>191</v>
      </c>
      <c r="C4" s="9" t="s">
        <v>4</v>
      </c>
      <c r="D4" s="1">
        <f>MAX(Table1[Delay ms])</f>
        <v>429</v>
      </c>
      <c r="M4" t="s">
        <v>11</v>
      </c>
      <c r="N4">
        <f>N3+$O$3+0.1</f>
        <v>100</v>
      </c>
      <c r="O4">
        <f t="shared" ref="O4:O57" si="0">N4+99.9</f>
        <v>199.9</v>
      </c>
      <c r="P4" t="str">
        <f t="shared" ref="P4" si="1">TEXT(N4,"0")&amp;".."&amp;TEXT(N5,"0")</f>
        <v>100..200</v>
      </c>
      <c r="Q4">
        <f>COUNTIFS(Table1[Delay ms],"&gt;="&amp;N4,Table1[Delay ms],"&lt;"&amp;O4)</f>
        <v>24</v>
      </c>
      <c r="R4">
        <f>1</f>
        <v>1</v>
      </c>
      <c r="S4">
        <f>40</f>
        <v>40</v>
      </c>
    </row>
    <row r="5" spans="1:19" x14ac:dyDescent="0.25">
      <c r="A5" s="1">
        <v>245</v>
      </c>
      <c r="C5" s="9" t="s">
        <v>10</v>
      </c>
      <c r="D5" s="1">
        <f>AVERAGE(Table1[Delay ms])</f>
        <v>266.53741496598639</v>
      </c>
      <c r="N5">
        <f t="shared" ref="N5:N57" si="2">N4+$O$3+0.1</f>
        <v>200</v>
      </c>
      <c r="O5">
        <f t="shared" si="0"/>
        <v>299.89999999999998</v>
      </c>
      <c r="P5" t="str">
        <f t="shared" ref="P5:P57" si="3">TEXT(N5,"0")&amp;".."&amp;TEXT(N6,"0")</f>
        <v>200..300</v>
      </c>
      <c r="Q5">
        <f>COUNTIFS(Table1[Delay ms],"&gt;="&amp;N5,Table1[Delay ms],"&lt;"&amp;O5)</f>
        <v>70</v>
      </c>
      <c r="R5">
        <f>1</f>
        <v>1</v>
      </c>
      <c r="S5">
        <f>40</f>
        <v>40</v>
      </c>
    </row>
    <row r="6" spans="1:19" x14ac:dyDescent="0.25">
      <c r="A6" s="1">
        <v>217</v>
      </c>
      <c r="C6" s="9" t="s">
        <v>12</v>
      </c>
      <c r="D6" s="1">
        <f>_xlfn.STDEV.P(Table1[Delay ms])</f>
        <v>69.778197880427143</v>
      </c>
      <c r="N6">
        <f t="shared" si="2"/>
        <v>300</v>
      </c>
      <c r="O6">
        <f t="shared" si="0"/>
        <v>399.9</v>
      </c>
      <c r="P6" t="str">
        <f t="shared" si="3"/>
        <v>300..400</v>
      </c>
      <c r="Q6">
        <f>COUNTIFS(Table1[Delay ms],"&gt;="&amp;N6,Table1[Delay ms],"&lt;"&amp;O6)</f>
        <v>48</v>
      </c>
      <c r="R6">
        <f>1</f>
        <v>1</v>
      </c>
      <c r="S6">
        <f>40</f>
        <v>40</v>
      </c>
    </row>
    <row r="7" spans="1:19" x14ac:dyDescent="0.25">
      <c r="A7" s="1">
        <v>317</v>
      </c>
      <c r="C7" s="9" t="s">
        <v>13</v>
      </c>
      <c r="D7" s="10">
        <f>D6*2</f>
        <v>139.55639576085429</v>
      </c>
      <c r="N7">
        <f t="shared" si="2"/>
        <v>400</v>
      </c>
      <c r="O7">
        <f t="shared" si="0"/>
        <v>499.9</v>
      </c>
      <c r="P7" t="str">
        <f t="shared" si="3"/>
        <v>400..500</v>
      </c>
      <c r="Q7">
        <f>COUNTIFS(Table1[Delay ms],"&gt;="&amp;N7,Table1[Delay ms],"&lt;"&amp;O7)</f>
        <v>5</v>
      </c>
      <c r="R7">
        <f>1</f>
        <v>1</v>
      </c>
      <c r="S7">
        <f>40</f>
        <v>40</v>
      </c>
    </row>
    <row r="8" spans="1:19" x14ac:dyDescent="0.25">
      <c r="A8" s="1">
        <v>203</v>
      </c>
      <c r="N8">
        <f t="shared" si="2"/>
        <v>500</v>
      </c>
      <c r="O8">
        <f t="shared" si="0"/>
        <v>599.9</v>
      </c>
      <c r="P8" t="str">
        <f t="shared" si="3"/>
        <v>500..600</v>
      </c>
      <c r="Q8">
        <f>COUNTIFS(Table1[Delay ms],"&gt;="&amp;N8,Table1[Delay ms],"&lt;"&amp;O8)</f>
        <v>0</v>
      </c>
      <c r="R8">
        <f>1</f>
        <v>1</v>
      </c>
      <c r="S8">
        <f>40</f>
        <v>40</v>
      </c>
    </row>
    <row r="9" spans="1:19" x14ac:dyDescent="0.25">
      <c r="A9" s="1">
        <v>198</v>
      </c>
      <c r="B9" t="s">
        <v>18</v>
      </c>
      <c r="G9">
        <f>SUM(G10:G47)</f>
        <v>147</v>
      </c>
      <c r="N9">
        <f t="shared" si="2"/>
        <v>600</v>
      </c>
      <c r="O9">
        <f t="shared" si="0"/>
        <v>699.9</v>
      </c>
      <c r="P9" t="str">
        <f t="shared" si="3"/>
        <v>600..700</v>
      </c>
      <c r="Q9">
        <f>COUNTIFS(Table1[Delay ms],"&gt;="&amp;N9,Table1[Delay ms],"&lt;"&amp;O9)</f>
        <v>0</v>
      </c>
      <c r="R9">
        <f>1</f>
        <v>1</v>
      </c>
      <c r="S9">
        <f>40</f>
        <v>40</v>
      </c>
    </row>
    <row r="10" spans="1:19" x14ac:dyDescent="0.25">
      <c r="A10" s="1">
        <v>207</v>
      </c>
      <c r="G10">
        <v>1</v>
      </c>
      <c r="H10" s="14">
        <f>SUM(G10:G$10)/$G$9</f>
        <v>6.8027210884353739E-3</v>
      </c>
      <c r="N10">
        <f t="shared" si="2"/>
        <v>700</v>
      </c>
      <c r="O10">
        <f t="shared" si="0"/>
        <v>799.9</v>
      </c>
      <c r="P10" t="str">
        <f t="shared" si="3"/>
        <v>700..800</v>
      </c>
      <c r="Q10">
        <f>COUNTIFS(Table1[Delay ms],"&gt;="&amp;N10,Table1[Delay ms],"&lt;"&amp;O10)</f>
        <v>0</v>
      </c>
      <c r="S10">
        <f>40</f>
        <v>40</v>
      </c>
    </row>
    <row r="11" spans="1:19" x14ac:dyDescent="0.25">
      <c r="A11" s="1">
        <v>216</v>
      </c>
      <c r="G11">
        <v>3</v>
      </c>
      <c r="H11" s="14">
        <f>SUM(G$10:G11)/$G$9</f>
        <v>2.7210884353741496E-2</v>
      </c>
      <c r="N11">
        <f t="shared" si="2"/>
        <v>800</v>
      </c>
      <c r="O11">
        <f t="shared" si="0"/>
        <v>899.9</v>
      </c>
      <c r="P11" t="str">
        <f t="shared" si="3"/>
        <v>800..900</v>
      </c>
      <c r="Q11">
        <f>COUNTIFS(Table1[Delay ms],"&gt;="&amp;N11,Table1[Delay ms],"&lt;"&amp;O11)</f>
        <v>0</v>
      </c>
      <c r="S11">
        <f>40</f>
        <v>40</v>
      </c>
    </row>
    <row r="12" spans="1:19" x14ac:dyDescent="0.25">
      <c r="A12" s="1">
        <v>295</v>
      </c>
      <c r="G12">
        <v>37</v>
      </c>
      <c r="H12" s="14">
        <f>SUM(G$10:G12)/$G$9</f>
        <v>0.27891156462585032</v>
      </c>
      <c r="N12">
        <f t="shared" si="2"/>
        <v>900</v>
      </c>
      <c r="O12">
        <f t="shared" si="0"/>
        <v>999.9</v>
      </c>
      <c r="P12" t="str">
        <f t="shared" si="3"/>
        <v>900..1000</v>
      </c>
      <c r="Q12">
        <f>COUNTIFS(Table1[Delay ms],"&gt;="&amp;N12,Table1[Delay ms],"&lt;"&amp;O12)</f>
        <v>0</v>
      </c>
      <c r="S12">
        <f>40</f>
        <v>40</v>
      </c>
    </row>
    <row r="13" spans="1:19" x14ac:dyDescent="0.25">
      <c r="A13" s="1">
        <v>242</v>
      </c>
      <c r="G13">
        <v>39</v>
      </c>
      <c r="H13" s="14">
        <f>SUM(G$10:G13)/$G$9</f>
        <v>0.54421768707482998</v>
      </c>
      <c r="N13">
        <f t="shared" si="2"/>
        <v>1000</v>
      </c>
      <c r="O13">
        <f t="shared" si="0"/>
        <v>1099.9000000000001</v>
      </c>
      <c r="P13" t="str">
        <f t="shared" si="3"/>
        <v>1000..1100</v>
      </c>
      <c r="Q13">
        <f>COUNTIFS(Table1[Delay ms],"&gt;="&amp;N13,Table1[Delay ms],"&lt;"&amp;O13)</f>
        <v>0</v>
      </c>
      <c r="S13">
        <f>40</f>
        <v>40</v>
      </c>
    </row>
    <row r="14" spans="1:19" x14ac:dyDescent="0.25">
      <c r="A14" s="1">
        <v>225</v>
      </c>
      <c r="B14" t="s">
        <v>19</v>
      </c>
      <c r="G14">
        <v>9</v>
      </c>
      <c r="H14" s="14">
        <f>SUM(G$10:G14)/$G$9</f>
        <v>0.60544217687074831</v>
      </c>
      <c r="N14">
        <f t="shared" si="2"/>
        <v>1100</v>
      </c>
      <c r="O14">
        <f t="shared" si="0"/>
        <v>1199.9000000000001</v>
      </c>
      <c r="P14" t="str">
        <f t="shared" si="3"/>
        <v>1100..1200</v>
      </c>
      <c r="Q14">
        <f>COUNTIFS(Table1[Delay ms],"&gt;="&amp;N14,Table1[Delay ms],"&lt;"&amp;O14)</f>
        <v>0</v>
      </c>
      <c r="S14">
        <f>40</f>
        <v>40</v>
      </c>
    </row>
    <row r="15" spans="1:19" x14ac:dyDescent="0.25">
      <c r="A15" s="1">
        <v>239</v>
      </c>
      <c r="G15">
        <v>8</v>
      </c>
      <c r="H15" s="14">
        <f>SUM(G$10:G15)/$G$9</f>
        <v>0.65986394557823125</v>
      </c>
      <c r="N15">
        <f t="shared" si="2"/>
        <v>1200</v>
      </c>
      <c r="O15">
        <f t="shared" si="0"/>
        <v>1299.9000000000001</v>
      </c>
      <c r="P15" t="str">
        <f t="shared" si="3"/>
        <v>1200..1300</v>
      </c>
      <c r="Q15">
        <f>COUNTIFS(Table1[Delay ms],"&gt;="&amp;N15,Table1[Delay ms],"&lt;"&amp;O15)</f>
        <v>0</v>
      </c>
      <c r="S15">
        <f>40</f>
        <v>40</v>
      </c>
    </row>
    <row r="16" spans="1:19" x14ac:dyDescent="0.25">
      <c r="A16" s="1">
        <v>215</v>
      </c>
      <c r="G16">
        <v>30</v>
      </c>
      <c r="H16" s="14">
        <f>SUM(G$10:G16)/$G$9</f>
        <v>0.86394557823129248</v>
      </c>
      <c r="N16">
        <f t="shared" si="2"/>
        <v>1300</v>
      </c>
      <c r="O16">
        <f t="shared" si="0"/>
        <v>1399.9</v>
      </c>
      <c r="P16" t="str">
        <f t="shared" si="3"/>
        <v>1300..1400</v>
      </c>
      <c r="Q16">
        <f>COUNTIFS(Table1[Delay ms],"&gt;="&amp;N16,Table1[Delay ms],"&lt;"&amp;O16)</f>
        <v>0</v>
      </c>
    </row>
    <row r="17" spans="1:17" x14ac:dyDescent="0.25">
      <c r="A17" s="1">
        <v>244</v>
      </c>
      <c r="G17">
        <v>13</v>
      </c>
      <c r="H17" s="14">
        <f>SUM(G$10:G17)/$G$9</f>
        <v>0.95238095238095233</v>
      </c>
      <c r="N17">
        <f t="shared" si="2"/>
        <v>1400</v>
      </c>
      <c r="O17">
        <f t="shared" si="0"/>
        <v>1499.9</v>
      </c>
      <c r="P17" t="str">
        <f t="shared" si="3"/>
        <v>1400..1500</v>
      </c>
      <c r="Q17">
        <f>COUNTIFS(Table1[Delay ms],"&gt;="&amp;N17,Table1[Delay ms],"&lt;"&amp;O17)</f>
        <v>0</v>
      </c>
    </row>
    <row r="18" spans="1:17" x14ac:dyDescent="0.25">
      <c r="A18" s="1">
        <v>239</v>
      </c>
      <c r="G18">
        <v>5</v>
      </c>
      <c r="H18" s="14">
        <f>SUM(G$10:G18)/$G$9</f>
        <v>0.98639455782312924</v>
      </c>
      <c r="N18">
        <f t="shared" si="2"/>
        <v>1500</v>
      </c>
      <c r="O18">
        <f t="shared" si="0"/>
        <v>1599.9</v>
      </c>
      <c r="P18" t="str">
        <f t="shared" si="3"/>
        <v>1500..1600</v>
      </c>
      <c r="Q18">
        <f>COUNTIFS(Table1[Delay ms],"&gt;="&amp;N18,Table1[Delay ms],"&lt;"&amp;O18)</f>
        <v>0</v>
      </c>
    </row>
    <row r="19" spans="1:17" x14ac:dyDescent="0.25">
      <c r="A19" s="1">
        <v>201</v>
      </c>
      <c r="B19" t="s">
        <v>20</v>
      </c>
      <c r="G19">
        <v>2</v>
      </c>
      <c r="H19" s="11">
        <f>SUM(G$10:G19)/$G$9</f>
        <v>1</v>
      </c>
      <c r="N19">
        <f t="shared" si="2"/>
        <v>1600</v>
      </c>
      <c r="O19">
        <f t="shared" si="0"/>
        <v>1699.9</v>
      </c>
      <c r="P19" t="str">
        <f t="shared" si="3"/>
        <v>1600..1700</v>
      </c>
      <c r="Q19">
        <f>COUNTIFS(Table1[Delay ms],"&gt;="&amp;N19,Table1[Delay ms],"&lt;"&amp;O19)</f>
        <v>0</v>
      </c>
    </row>
    <row r="20" spans="1:17" x14ac:dyDescent="0.25">
      <c r="A20" s="1">
        <v>231</v>
      </c>
      <c r="N20">
        <f t="shared" si="2"/>
        <v>1700</v>
      </c>
      <c r="O20">
        <f t="shared" si="0"/>
        <v>1799.9</v>
      </c>
      <c r="P20" t="str">
        <f t="shared" si="3"/>
        <v>1700..1800</v>
      </c>
      <c r="Q20">
        <f>COUNTIFS(Table1[Delay ms],"&gt;="&amp;N20,Table1[Delay ms],"&lt;"&amp;O20)</f>
        <v>0</v>
      </c>
    </row>
    <row r="21" spans="1:17" x14ac:dyDescent="0.25">
      <c r="A21" s="1">
        <v>226</v>
      </c>
      <c r="N21">
        <f t="shared" si="2"/>
        <v>1800</v>
      </c>
      <c r="O21">
        <f t="shared" si="0"/>
        <v>1899.9</v>
      </c>
      <c r="P21" t="str">
        <f t="shared" si="3"/>
        <v>1800..1900</v>
      </c>
      <c r="Q21">
        <f>COUNTIFS(Table1[Delay ms],"&gt;="&amp;N21,Table1[Delay ms],"&lt;"&amp;O21)</f>
        <v>0</v>
      </c>
    </row>
    <row r="22" spans="1:17" x14ac:dyDescent="0.25">
      <c r="A22" s="1">
        <v>216</v>
      </c>
      <c r="N22">
        <f t="shared" si="2"/>
        <v>1900</v>
      </c>
      <c r="O22">
        <f t="shared" si="0"/>
        <v>1999.9</v>
      </c>
      <c r="P22" t="str">
        <f t="shared" si="3"/>
        <v>1900..2000</v>
      </c>
      <c r="Q22">
        <f>COUNTIFS(Table1[Delay ms],"&gt;="&amp;N22,Table1[Delay ms],"&lt;"&amp;O22)</f>
        <v>0</v>
      </c>
    </row>
    <row r="23" spans="1:17" x14ac:dyDescent="0.25">
      <c r="A23" s="1">
        <v>204</v>
      </c>
      <c r="N23">
        <f t="shared" si="2"/>
        <v>2000</v>
      </c>
      <c r="O23">
        <f t="shared" si="0"/>
        <v>2099.9</v>
      </c>
      <c r="P23" t="str">
        <f t="shared" si="3"/>
        <v>2000..2100</v>
      </c>
      <c r="Q23">
        <f>COUNTIFS(Table1[Delay ms],"&gt;="&amp;N23,Table1[Delay ms],"&lt;"&amp;O23)</f>
        <v>0</v>
      </c>
    </row>
    <row r="24" spans="1:17" x14ac:dyDescent="0.25">
      <c r="A24" s="1">
        <v>220</v>
      </c>
      <c r="N24">
        <f t="shared" si="2"/>
        <v>2100</v>
      </c>
      <c r="O24">
        <f t="shared" si="0"/>
        <v>2199.9</v>
      </c>
      <c r="P24" t="str">
        <f t="shared" si="3"/>
        <v>2100..2200</v>
      </c>
      <c r="Q24">
        <f>COUNTIFS(Table1[Delay ms],"&gt;="&amp;N24,Table1[Delay ms],"&lt;"&amp;O24)</f>
        <v>0</v>
      </c>
    </row>
    <row r="25" spans="1:17" x14ac:dyDescent="0.25">
      <c r="A25" s="1">
        <v>203</v>
      </c>
      <c r="N25">
        <f t="shared" si="2"/>
        <v>2200</v>
      </c>
      <c r="O25">
        <f t="shared" si="0"/>
        <v>2299.9</v>
      </c>
      <c r="P25" t="str">
        <f t="shared" si="3"/>
        <v>2200..2300</v>
      </c>
      <c r="Q25">
        <f>COUNTIFS(Table1[Delay ms],"&gt;="&amp;N25,Table1[Delay ms],"&lt;"&amp;O25)</f>
        <v>0</v>
      </c>
    </row>
    <row r="26" spans="1:17" x14ac:dyDescent="0.25">
      <c r="A26" s="1">
        <v>220</v>
      </c>
      <c r="N26">
        <f t="shared" si="2"/>
        <v>2300</v>
      </c>
      <c r="O26">
        <f t="shared" si="0"/>
        <v>2399.9</v>
      </c>
      <c r="P26" t="str">
        <f t="shared" si="3"/>
        <v>2300..2400</v>
      </c>
      <c r="Q26">
        <f>COUNTIFS(Table1[Delay ms],"&gt;="&amp;N26,Table1[Delay ms],"&lt;"&amp;O26)</f>
        <v>0</v>
      </c>
    </row>
    <row r="27" spans="1:17" x14ac:dyDescent="0.25">
      <c r="A27" s="1">
        <v>306</v>
      </c>
      <c r="N27">
        <f t="shared" si="2"/>
        <v>2400</v>
      </c>
      <c r="O27">
        <f t="shared" si="0"/>
        <v>2499.9</v>
      </c>
      <c r="P27" t="str">
        <f t="shared" si="3"/>
        <v>2400..2500</v>
      </c>
      <c r="Q27">
        <f>COUNTIFS(Table1[Delay ms],"&gt;="&amp;N27,Table1[Delay ms],"&lt;"&amp;O27)</f>
        <v>0</v>
      </c>
    </row>
    <row r="28" spans="1:17" x14ac:dyDescent="0.25">
      <c r="A28" s="1">
        <v>204</v>
      </c>
      <c r="N28">
        <f t="shared" si="2"/>
        <v>2500</v>
      </c>
      <c r="O28">
        <f t="shared" si="0"/>
        <v>2599.9</v>
      </c>
      <c r="P28" t="str">
        <f t="shared" si="3"/>
        <v>2500..2600</v>
      </c>
      <c r="Q28">
        <f>COUNTIFS(Table1[Delay ms],"&gt;="&amp;N28,Table1[Delay ms],"&lt;"&amp;O28)</f>
        <v>0</v>
      </c>
    </row>
    <row r="29" spans="1:17" x14ac:dyDescent="0.25">
      <c r="A29" s="1">
        <v>236</v>
      </c>
      <c r="N29">
        <f t="shared" si="2"/>
        <v>2600</v>
      </c>
      <c r="O29">
        <f t="shared" si="0"/>
        <v>2699.9</v>
      </c>
      <c r="P29" t="str">
        <f t="shared" si="3"/>
        <v>2600..2700</v>
      </c>
      <c r="Q29">
        <f>COUNTIFS(Table1[Delay ms],"&gt;="&amp;N29,Table1[Delay ms],"&lt;"&amp;O29)</f>
        <v>0</v>
      </c>
    </row>
    <row r="30" spans="1:17" x14ac:dyDescent="0.25">
      <c r="A30" s="1">
        <v>237</v>
      </c>
      <c r="N30">
        <f t="shared" si="2"/>
        <v>2700</v>
      </c>
      <c r="O30">
        <f t="shared" si="0"/>
        <v>2799.9</v>
      </c>
      <c r="P30" t="str">
        <f t="shared" si="3"/>
        <v>2700..2800</v>
      </c>
      <c r="Q30">
        <f>COUNTIFS(Table1[Delay ms],"&gt;="&amp;N30,Table1[Delay ms],"&lt;"&amp;O30)</f>
        <v>0</v>
      </c>
    </row>
    <row r="31" spans="1:17" x14ac:dyDescent="0.25">
      <c r="A31" s="1">
        <v>240</v>
      </c>
      <c r="B31" t="s">
        <v>21</v>
      </c>
      <c r="N31">
        <f t="shared" si="2"/>
        <v>2800</v>
      </c>
      <c r="O31">
        <f t="shared" si="0"/>
        <v>2899.9</v>
      </c>
      <c r="P31" t="str">
        <f t="shared" si="3"/>
        <v>2800..2900</v>
      </c>
      <c r="Q31">
        <f>COUNTIFS(Table1[Delay ms],"&gt;="&amp;N31,Table1[Delay ms],"&lt;"&amp;O31)</f>
        <v>0</v>
      </c>
    </row>
    <row r="32" spans="1:17" x14ac:dyDescent="0.25">
      <c r="A32" s="1">
        <v>258</v>
      </c>
      <c r="N32">
        <f t="shared" si="2"/>
        <v>2900</v>
      </c>
      <c r="O32">
        <f t="shared" si="0"/>
        <v>2999.9</v>
      </c>
      <c r="P32" t="str">
        <f t="shared" si="3"/>
        <v>2900..3000</v>
      </c>
      <c r="Q32">
        <f>COUNTIFS(Table1[Delay ms],"&gt;="&amp;N32,Table1[Delay ms],"&lt;"&amp;O32)</f>
        <v>0</v>
      </c>
    </row>
    <row r="33" spans="1:17" x14ac:dyDescent="0.25">
      <c r="A33" s="1">
        <v>284</v>
      </c>
      <c r="N33">
        <f t="shared" si="2"/>
        <v>3000</v>
      </c>
      <c r="O33">
        <f t="shared" si="0"/>
        <v>3099.9</v>
      </c>
      <c r="P33" t="str">
        <f t="shared" si="3"/>
        <v>3000..3100</v>
      </c>
      <c r="Q33">
        <f>COUNTIFS(Table1[Delay ms],"&gt;="&amp;N33,Table1[Delay ms],"&lt;"&amp;O33)</f>
        <v>0</v>
      </c>
    </row>
    <row r="34" spans="1:17" x14ac:dyDescent="0.25">
      <c r="A34" s="1">
        <v>232</v>
      </c>
      <c r="N34">
        <f t="shared" si="2"/>
        <v>3100</v>
      </c>
      <c r="O34">
        <f t="shared" si="0"/>
        <v>3199.9</v>
      </c>
      <c r="P34" t="str">
        <f t="shared" si="3"/>
        <v>3100..3200</v>
      </c>
      <c r="Q34">
        <f>COUNTIFS(Table1[Delay ms],"&gt;="&amp;N34,Table1[Delay ms],"&lt;"&amp;O34)</f>
        <v>0</v>
      </c>
    </row>
    <row r="35" spans="1:17" x14ac:dyDescent="0.25">
      <c r="A35" s="1">
        <v>429</v>
      </c>
      <c r="N35">
        <f t="shared" si="2"/>
        <v>3200</v>
      </c>
      <c r="O35">
        <f t="shared" si="0"/>
        <v>3299.9</v>
      </c>
      <c r="P35" t="str">
        <f t="shared" si="3"/>
        <v>3200..3300</v>
      </c>
      <c r="Q35">
        <f>COUNTIFS(Table1[Delay ms],"&gt;="&amp;N35,Table1[Delay ms],"&lt;"&amp;O35)</f>
        <v>0</v>
      </c>
    </row>
    <row r="36" spans="1:17" x14ac:dyDescent="0.25">
      <c r="A36" s="1">
        <v>235</v>
      </c>
      <c r="N36">
        <f t="shared" si="2"/>
        <v>3300</v>
      </c>
      <c r="O36">
        <f t="shared" si="0"/>
        <v>3399.9</v>
      </c>
      <c r="P36" t="str">
        <f t="shared" si="3"/>
        <v>3300..3400</v>
      </c>
      <c r="Q36">
        <f>COUNTIFS(Table1[Delay ms],"&gt;="&amp;N36,Table1[Delay ms],"&lt;"&amp;O36)</f>
        <v>0</v>
      </c>
    </row>
    <row r="37" spans="1:17" x14ac:dyDescent="0.25">
      <c r="A37" s="1">
        <v>224</v>
      </c>
      <c r="N37">
        <f t="shared" si="2"/>
        <v>3400</v>
      </c>
      <c r="O37">
        <f t="shared" si="0"/>
        <v>3499.9</v>
      </c>
      <c r="P37" t="str">
        <f t="shared" si="3"/>
        <v>3400..3500</v>
      </c>
      <c r="Q37">
        <f>COUNTIFS(Table1[Delay ms],"&gt;="&amp;N37,Table1[Delay ms],"&lt;"&amp;O37)</f>
        <v>0</v>
      </c>
    </row>
    <row r="38" spans="1:17" x14ac:dyDescent="0.25">
      <c r="A38" s="1">
        <v>234</v>
      </c>
      <c r="N38">
        <f t="shared" si="2"/>
        <v>3500</v>
      </c>
      <c r="O38">
        <f t="shared" si="0"/>
        <v>3599.9</v>
      </c>
      <c r="P38" t="str">
        <f t="shared" si="3"/>
        <v>3500..3600</v>
      </c>
      <c r="Q38">
        <f>COUNTIFS(Table1[Delay ms],"&gt;="&amp;N38,Table1[Delay ms],"&lt;"&amp;O38)</f>
        <v>0</v>
      </c>
    </row>
    <row r="39" spans="1:17" x14ac:dyDescent="0.25">
      <c r="A39" s="1">
        <v>353</v>
      </c>
      <c r="N39">
        <f t="shared" si="2"/>
        <v>3600</v>
      </c>
      <c r="O39">
        <f t="shared" si="0"/>
        <v>3699.9</v>
      </c>
      <c r="P39" t="str">
        <f t="shared" si="3"/>
        <v>3600..3700</v>
      </c>
      <c r="Q39">
        <f>COUNTIFS(Table1[Delay ms],"&gt;="&amp;N39,Table1[Delay ms],"&lt;"&amp;O39)</f>
        <v>0</v>
      </c>
    </row>
    <row r="40" spans="1:17" x14ac:dyDescent="0.25">
      <c r="A40" s="1">
        <v>225</v>
      </c>
      <c r="N40">
        <f t="shared" si="2"/>
        <v>3700</v>
      </c>
      <c r="O40">
        <f t="shared" si="0"/>
        <v>3799.9</v>
      </c>
      <c r="P40" t="str">
        <f t="shared" si="3"/>
        <v>3700..3800</v>
      </c>
      <c r="Q40">
        <f>COUNTIFS(Table1[Delay ms],"&gt;="&amp;N40,Table1[Delay ms],"&lt;"&amp;O40)</f>
        <v>0</v>
      </c>
    </row>
    <row r="41" spans="1:17" x14ac:dyDescent="0.25">
      <c r="A41" s="1">
        <v>252</v>
      </c>
      <c r="N41">
        <f t="shared" si="2"/>
        <v>3800</v>
      </c>
      <c r="O41">
        <f t="shared" si="0"/>
        <v>3899.9</v>
      </c>
      <c r="P41" t="str">
        <f t="shared" si="3"/>
        <v>3800..3900</v>
      </c>
      <c r="Q41">
        <f>COUNTIFS(Table1[Delay ms],"&gt;="&amp;N41,Table1[Delay ms],"&lt;"&amp;O41)</f>
        <v>0</v>
      </c>
    </row>
    <row r="42" spans="1:17" x14ac:dyDescent="0.25">
      <c r="A42" s="1">
        <v>221</v>
      </c>
      <c r="N42">
        <f t="shared" si="2"/>
        <v>3900</v>
      </c>
      <c r="O42">
        <f t="shared" si="0"/>
        <v>3999.9</v>
      </c>
      <c r="P42" t="str">
        <f t="shared" si="3"/>
        <v>3900..4000</v>
      </c>
      <c r="Q42">
        <f>COUNTIFS(Table1[Delay ms],"&gt;="&amp;N42,Table1[Delay ms],"&lt;"&amp;O42)</f>
        <v>0</v>
      </c>
    </row>
    <row r="43" spans="1:17" x14ac:dyDescent="0.25">
      <c r="A43" s="1">
        <v>319</v>
      </c>
      <c r="B43" t="s">
        <v>22</v>
      </c>
      <c r="N43">
        <f t="shared" si="2"/>
        <v>4000</v>
      </c>
      <c r="O43">
        <f t="shared" si="0"/>
        <v>4099.8999999999996</v>
      </c>
      <c r="P43" t="str">
        <f t="shared" si="3"/>
        <v>4000..4100</v>
      </c>
      <c r="Q43">
        <f>COUNTIFS(Table1[Delay ms],"&gt;="&amp;N43,Table1[Delay ms],"&lt;"&amp;O43)</f>
        <v>0</v>
      </c>
    </row>
    <row r="44" spans="1:17" x14ac:dyDescent="0.25">
      <c r="A44" s="1">
        <v>222</v>
      </c>
      <c r="N44">
        <f t="shared" si="2"/>
        <v>4100</v>
      </c>
      <c r="O44">
        <f t="shared" si="0"/>
        <v>4199.8999999999996</v>
      </c>
      <c r="P44" t="str">
        <f t="shared" si="3"/>
        <v>4100..4200</v>
      </c>
      <c r="Q44">
        <f>COUNTIFS(Table1[Delay ms],"&gt;="&amp;N44,Table1[Delay ms],"&lt;"&amp;O44)</f>
        <v>0</v>
      </c>
    </row>
    <row r="45" spans="1:17" x14ac:dyDescent="0.25">
      <c r="A45" s="1">
        <v>245</v>
      </c>
      <c r="N45">
        <f t="shared" si="2"/>
        <v>4200</v>
      </c>
      <c r="O45">
        <f t="shared" si="0"/>
        <v>4299.8999999999996</v>
      </c>
      <c r="P45" t="str">
        <f t="shared" si="3"/>
        <v>4200..4300</v>
      </c>
      <c r="Q45">
        <f>COUNTIFS(Table1[Delay ms],"&gt;="&amp;N45,Table1[Delay ms],"&lt;"&amp;O45)</f>
        <v>0</v>
      </c>
    </row>
    <row r="46" spans="1:17" x14ac:dyDescent="0.25">
      <c r="A46" s="1">
        <v>191</v>
      </c>
      <c r="N46">
        <f t="shared" si="2"/>
        <v>4300</v>
      </c>
      <c r="O46">
        <f t="shared" si="0"/>
        <v>4399.8999999999996</v>
      </c>
      <c r="P46" t="str">
        <f t="shared" si="3"/>
        <v>4300..4400</v>
      </c>
      <c r="Q46">
        <f>COUNTIFS(Table1[Delay ms],"&gt;="&amp;N46,Table1[Delay ms],"&lt;"&amp;O46)</f>
        <v>0</v>
      </c>
    </row>
    <row r="47" spans="1:17" x14ac:dyDescent="0.25">
      <c r="A47" s="1">
        <v>175</v>
      </c>
      <c r="N47">
        <f t="shared" si="2"/>
        <v>4400</v>
      </c>
      <c r="O47">
        <f t="shared" si="0"/>
        <v>4499.8999999999996</v>
      </c>
      <c r="P47" t="str">
        <f t="shared" si="3"/>
        <v>4400..4500</v>
      </c>
      <c r="Q47">
        <f>COUNTIFS(Table1[Delay ms],"&gt;="&amp;N47,Table1[Delay ms],"&lt;"&amp;O47)</f>
        <v>0</v>
      </c>
    </row>
    <row r="48" spans="1:17" x14ac:dyDescent="0.25">
      <c r="A48" s="1">
        <v>206</v>
      </c>
      <c r="N48">
        <f t="shared" si="2"/>
        <v>4500</v>
      </c>
      <c r="O48">
        <f t="shared" si="0"/>
        <v>4599.8999999999996</v>
      </c>
      <c r="P48" t="str">
        <f t="shared" si="3"/>
        <v>4500..4600</v>
      </c>
      <c r="Q48">
        <f>COUNTIFS(Table1[Delay ms],"&gt;="&amp;N48,Table1[Delay ms],"&lt;"&amp;O48)</f>
        <v>0</v>
      </c>
    </row>
    <row r="49" spans="1:17" x14ac:dyDescent="0.25">
      <c r="A49" s="1">
        <v>212</v>
      </c>
      <c r="N49">
        <f t="shared" si="2"/>
        <v>4600</v>
      </c>
      <c r="O49">
        <f t="shared" si="0"/>
        <v>4699.8999999999996</v>
      </c>
      <c r="P49" t="str">
        <f t="shared" si="3"/>
        <v>4600..4700</v>
      </c>
      <c r="Q49">
        <f>COUNTIFS(Table1[Delay ms],"&gt;="&amp;N49,Table1[Delay ms],"&lt;"&amp;O49)</f>
        <v>0</v>
      </c>
    </row>
    <row r="50" spans="1:17" x14ac:dyDescent="0.25">
      <c r="A50" s="1">
        <v>199</v>
      </c>
      <c r="N50">
        <f t="shared" si="2"/>
        <v>4700</v>
      </c>
      <c r="O50">
        <f t="shared" si="0"/>
        <v>4799.8999999999996</v>
      </c>
      <c r="P50" t="str">
        <f t="shared" si="3"/>
        <v>4700..4800</v>
      </c>
      <c r="Q50">
        <f>COUNTIFS(Table1[Delay ms],"&gt;="&amp;N50,Table1[Delay ms],"&lt;"&amp;O50)</f>
        <v>0</v>
      </c>
    </row>
    <row r="51" spans="1:17" x14ac:dyDescent="0.25">
      <c r="A51" s="1">
        <v>137</v>
      </c>
      <c r="N51">
        <f t="shared" si="2"/>
        <v>4800</v>
      </c>
      <c r="O51">
        <f t="shared" si="0"/>
        <v>4899.8999999999996</v>
      </c>
      <c r="P51" t="str">
        <f t="shared" si="3"/>
        <v>4800..4900</v>
      </c>
      <c r="Q51">
        <f>COUNTIFS(Table1[Delay ms],"&gt;="&amp;N51,Table1[Delay ms],"&lt;"&amp;O51)</f>
        <v>0</v>
      </c>
    </row>
    <row r="52" spans="1:17" x14ac:dyDescent="0.25">
      <c r="A52" s="1">
        <v>188</v>
      </c>
      <c r="N52">
        <f t="shared" si="2"/>
        <v>4900</v>
      </c>
      <c r="O52">
        <f t="shared" si="0"/>
        <v>4999.8999999999996</v>
      </c>
      <c r="P52" t="str">
        <f t="shared" si="3"/>
        <v>4900..5000</v>
      </c>
      <c r="Q52">
        <f>COUNTIFS(Table1[Delay ms],"&gt;="&amp;N52,Table1[Delay ms],"&lt;"&amp;O52)</f>
        <v>0</v>
      </c>
    </row>
    <row r="53" spans="1:17" x14ac:dyDescent="0.25">
      <c r="A53" s="1">
        <v>241</v>
      </c>
      <c r="N53">
        <f t="shared" si="2"/>
        <v>5000</v>
      </c>
      <c r="O53">
        <f t="shared" si="0"/>
        <v>5099.8999999999996</v>
      </c>
      <c r="P53" t="str">
        <f t="shared" si="3"/>
        <v>5000..5100</v>
      </c>
      <c r="Q53">
        <f>COUNTIFS(Table1[Delay ms],"&gt;="&amp;N53,Table1[Delay ms],"&lt;"&amp;O53)</f>
        <v>0</v>
      </c>
    </row>
    <row r="54" spans="1:17" x14ac:dyDescent="0.25">
      <c r="A54" s="1">
        <v>208</v>
      </c>
      <c r="N54">
        <f t="shared" si="2"/>
        <v>5100</v>
      </c>
      <c r="O54">
        <f t="shared" si="0"/>
        <v>5199.8999999999996</v>
      </c>
      <c r="P54" t="str">
        <f t="shared" si="3"/>
        <v>5100..5200</v>
      </c>
      <c r="Q54">
        <f>COUNTIFS(Table1[Delay ms],"&gt;="&amp;N54,Table1[Delay ms],"&lt;"&amp;O54)</f>
        <v>0</v>
      </c>
    </row>
    <row r="55" spans="1:17" x14ac:dyDescent="0.25">
      <c r="A55" s="1">
        <v>268</v>
      </c>
      <c r="B55" t="s">
        <v>23</v>
      </c>
      <c r="N55">
        <f t="shared" si="2"/>
        <v>5200</v>
      </c>
      <c r="O55">
        <f t="shared" si="0"/>
        <v>5299.9</v>
      </c>
      <c r="P55" t="str">
        <f t="shared" si="3"/>
        <v>5200..5300</v>
      </c>
      <c r="Q55">
        <f>COUNTIFS(Table1[Delay ms],"&gt;="&amp;N55,Table1[Delay ms],"&lt;"&amp;O55)</f>
        <v>0</v>
      </c>
    </row>
    <row r="56" spans="1:17" x14ac:dyDescent="0.25">
      <c r="A56" s="1">
        <v>229</v>
      </c>
      <c r="N56">
        <f t="shared" si="2"/>
        <v>5300</v>
      </c>
      <c r="O56">
        <f t="shared" si="0"/>
        <v>5399.9</v>
      </c>
      <c r="P56" t="str">
        <f t="shared" si="3"/>
        <v>5300..5400</v>
      </c>
      <c r="Q56">
        <f>COUNTIFS(Table1[Delay ms],"&gt;="&amp;N56,Table1[Delay ms],"&lt;"&amp;O56)</f>
        <v>0</v>
      </c>
    </row>
    <row r="57" spans="1:17" x14ac:dyDescent="0.25">
      <c r="A57" s="1">
        <v>190</v>
      </c>
      <c r="N57">
        <f t="shared" si="2"/>
        <v>5400</v>
      </c>
      <c r="O57">
        <f t="shared" si="0"/>
        <v>5499.9</v>
      </c>
      <c r="P57" t="str">
        <f t="shared" si="3"/>
        <v>5400..0</v>
      </c>
      <c r="Q57">
        <f>COUNTIFS(Table1[Delay ms],"&gt;="&amp;N57,Table1[Delay ms],"&lt;"&amp;O57)</f>
        <v>0</v>
      </c>
    </row>
    <row r="58" spans="1:17" x14ac:dyDescent="0.25">
      <c r="A58" s="1">
        <v>286</v>
      </c>
    </row>
    <row r="59" spans="1:17" x14ac:dyDescent="0.25">
      <c r="A59" s="1">
        <v>204</v>
      </c>
    </row>
    <row r="60" spans="1:17" x14ac:dyDescent="0.25">
      <c r="A60" s="1">
        <v>197</v>
      </c>
    </row>
    <row r="61" spans="1:17" x14ac:dyDescent="0.25">
      <c r="A61" s="1">
        <v>214</v>
      </c>
    </row>
    <row r="62" spans="1:17" x14ac:dyDescent="0.25">
      <c r="A62" s="1">
        <v>222</v>
      </c>
    </row>
    <row r="63" spans="1:17" x14ac:dyDescent="0.25">
      <c r="A63" s="1">
        <v>298</v>
      </c>
    </row>
    <row r="64" spans="1:17" x14ac:dyDescent="0.25">
      <c r="A64" s="1">
        <v>209</v>
      </c>
    </row>
    <row r="65" spans="1:2" x14ac:dyDescent="0.25">
      <c r="A65" s="1">
        <v>214</v>
      </c>
    </row>
    <row r="66" spans="1:2" x14ac:dyDescent="0.25">
      <c r="A66" s="1">
        <v>215</v>
      </c>
    </row>
    <row r="67" spans="1:2" x14ac:dyDescent="0.25">
      <c r="A67" s="1">
        <v>182</v>
      </c>
    </row>
    <row r="68" spans="1:2" x14ac:dyDescent="0.25">
      <c r="A68" s="1">
        <v>211</v>
      </c>
    </row>
    <row r="69" spans="1:2" x14ac:dyDescent="0.25">
      <c r="A69" s="1">
        <v>194</v>
      </c>
    </row>
    <row r="70" spans="1:2" x14ac:dyDescent="0.25">
      <c r="A70" s="1">
        <v>220</v>
      </c>
    </row>
    <row r="71" spans="1:2" x14ac:dyDescent="0.25">
      <c r="A71" s="1">
        <v>195</v>
      </c>
    </row>
    <row r="72" spans="1:2" x14ac:dyDescent="0.25">
      <c r="A72" s="1">
        <v>207</v>
      </c>
    </row>
    <row r="73" spans="1:2" x14ac:dyDescent="0.25">
      <c r="A73" s="1">
        <v>209</v>
      </c>
    </row>
    <row r="74" spans="1:2" x14ac:dyDescent="0.25">
      <c r="A74" s="1">
        <v>257</v>
      </c>
    </row>
    <row r="75" spans="1:2" x14ac:dyDescent="0.25">
      <c r="A75" s="1">
        <v>291</v>
      </c>
    </row>
    <row r="76" spans="1:2" x14ac:dyDescent="0.25">
      <c r="A76" s="1">
        <v>217</v>
      </c>
    </row>
    <row r="77" spans="1:2" x14ac:dyDescent="0.25">
      <c r="A77" s="1">
        <v>241</v>
      </c>
    </row>
    <row r="78" spans="1:2" x14ac:dyDescent="0.25">
      <c r="A78" s="1">
        <v>186</v>
      </c>
    </row>
    <row r="79" spans="1:2" x14ac:dyDescent="0.25">
      <c r="A79" s="1">
        <v>374</v>
      </c>
      <c r="B79" t="s">
        <v>24</v>
      </c>
    </row>
    <row r="80" spans="1:2" x14ac:dyDescent="0.25">
      <c r="A80" s="1">
        <v>341</v>
      </c>
    </row>
    <row r="81" spans="1:1" x14ac:dyDescent="0.25">
      <c r="A81" s="1">
        <v>340</v>
      </c>
    </row>
    <row r="82" spans="1:1" x14ac:dyDescent="0.25">
      <c r="A82" s="1">
        <v>356</v>
      </c>
    </row>
    <row r="83" spans="1:1" x14ac:dyDescent="0.25">
      <c r="A83" s="1">
        <v>353</v>
      </c>
    </row>
    <row r="84" spans="1:1" x14ac:dyDescent="0.25">
      <c r="A84" s="1">
        <v>366</v>
      </c>
    </row>
    <row r="85" spans="1:1" x14ac:dyDescent="0.25">
      <c r="A85" s="1">
        <v>419</v>
      </c>
    </row>
    <row r="86" spans="1:1" x14ac:dyDescent="0.25">
      <c r="A86" s="1">
        <v>414</v>
      </c>
    </row>
    <row r="87" spans="1:1" x14ac:dyDescent="0.25">
      <c r="A87" s="1">
        <v>381</v>
      </c>
    </row>
    <row r="88" spans="1:1" x14ac:dyDescent="0.25">
      <c r="A88" s="1">
        <v>364</v>
      </c>
    </row>
    <row r="89" spans="1:1" x14ac:dyDescent="0.25">
      <c r="A89" s="1">
        <v>387</v>
      </c>
    </row>
    <row r="90" spans="1:1" x14ac:dyDescent="0.25">
      <c r="A90" s="1">
        <v>329</v>
      </c>
    </row>
    <row r="91" spans="1:1" x14ac:dyDescent="0.25">
      <c r="A91" s="1">
        <v>367</v>
      </c>
    </row>
    <row r="92" spans="1:1" x14ac:dyDescent="0.25">
      <c r="A92" s="1">
        <v>356</v>
      </c>
    </row>
    <row r="93" spans="1:1" x14ac:dyDescent="0.25">
      <c r="A93" s="1">
        <v>345</v>
      </c>
    </row>
    <row r="94" spans="1:1" x14ac:dyDescent="0.25">
      <c r="A94" s="1">
        <v>363</v>
      </c>
    </row>
    <row r="95" spans="1:1" x14ac:dyDescent="0.25">
      <c r="A95" s="1">
        <v>314</v>
      </c>
    </row>
    <row r="96" spans="1:1" x14ac:dyDescent="0.25">
      <c r="A96" s="1">
        <v>330</v>
      </c>
    </row>
    <row r="97" spans="1:2" x14ac:dyDescent="0.25">
      <c r="A97" s="1">
        <v>338</v>
      </c>
    </row>
    <row r="98" spans="1:2" x14ac:dyDescent="0.25">
      <c r="A98" s="1">
        <v>406</v>
      </c>
    </row>
    <row r="99" spans="1:2" x14ac:dyDescent="0.25">
      <c r="A99" s="1">
        <v>340</v>
      </c>
    </row>
    <row r="100" spans="1:2" x14ac:dyDescent="0.25">
      <c r="A100" s="1">
        <v>347</v>
      </c>
    </row>
    <row r="101" spans="1:2" x14ac:dyDescent="0.25">
      <c r="A101" s="1">
        <v>425</v>
      </c>
    </row>
    <row r="102" spans="1:2" x14ac:dyDescent="0.25">
      <c r="A102" s="1">
        <v>345</v>
      </c>
    </row>
    <row r="103" spans="1:2" x14ac:dyDescent="0.25">
      <c r="A103" s="1">
        <v>187</v>
      </c>
      <c r="B103" t="s">
        <v>25</v>
      </c>
    </row>
    <row r="104" spans="1:2" x14ac:dyDescent="0.25">
      <c r="A104" s="1">
        <v>206</v>
      </c>
    </row>
    <row r="105" spans="1:2" x14ac:dyDescent="0.25">
      <c r="A105" s="1">
        <v>199</v>
      </c>
    </row>
    <row r="106" spans="1:2" x14ac:dyDescent="0.25">
      <c r="A106" s="1">
        <v>220</v>
      </c>
    </row>
    <row r="107" spans="1:2" x14ac:dyDescent="0.25">
      <c r="A107" s="1">
        <v>211</v>
      </c>
    </row>
    <row r="108" spans="1:2" x14ac:dyDescent="0.25">
      <c r="A108" s="1">
        <v>248</v>
      </c>
    </row>
    <row r="109" spans="1:2" x14ac:dyDescent="0.25">
      <c r="A109" s="1">
        <v>201</v>
      </c>
    </row>
    <row r="110" spans="1:2" x14ac:dyDescent="0.25">
      <c r="A110" s="1">
        <v>261</v>
      </c>
    </row>
    <row r="111" spans="1:2" x14ac:dyDescent="0.25">
      <c r="A111" s="1">
        <v>252</v>
      </c>
    </row>
    <row r="112" spans="1:2" x14ac:dyDescent="0.25">
      <c r="A112" s="1">
        <v>205</v>
      </c>
    </row>
    <row r="113" spans="1:2" x14ac:dyDescent="0.25">
      <c r="A113" s="1">
        <v>205</v>
      </c>
    </row>
    <row r="114" spans="1:2" x14ac:dyDescent="0.25">
      <c r="A114" s="1">
        <v>265</v>
      </c>
    </row>
    <row r="115" spans="1:2" x14ac:dyDescent="0.25">
      <c r="A115" s="1">
        <v>180</v>
      </c>
    </row>
    <row r="116" spans="1:2" x14ac:dyDescent="0.25">
      <c r="A116" s="1">
        <v>194</v>
      </c>
    </row>
    <row r="117" spans="1:2" x14ac:dyDescent="0.25">
      <c r="A117" s="1">
        <v>300</v>
      </c>
    </row>
    <row r="118" spans="1:2" x14ac:dyDescent="0.25">
      <c r="A118" s="1">
        <v>190</v>
      </c>
    </row>
    <row r="119" spans="1:2" x14ac:dyDescent="0.25">
      <c r="A119" s="1">
        <v>167</v>
      </c>
    </row>
    <row r="120" spans="1:2" x14ac:dyDescent="0.25">
      <c r="A120" s="1">
        <v>259</v>
      </c>
    </row>
    <row r="121" spans="1:2" x14ac:dyDescent="0.25">
      <c r="A121" s="1">
        <v>241</v>
      </c>
    </row>
    <row r="122" spans="1:2" x14ac:dyDescent="0.25">
      <c r="A122" s="1">
        <v>184</v>
      </c>
    </row>
    <row r="123" spans="1:2" x14ac:dyDescent="0.25">
      <c r="A123" s="1">
        <v>188</v>
      </c>
    </row>
    <row r="124" spans="1:2" x14ac:dyDescent="0.25">
      <c r="A124" s="1">
        <v>175</v>
      </c>
    </row>
    <row r="125" spans="1:2" x14ac:dyDescent="0.25">
      <c r="A125" s="1">
        <v>183</v>
      </c>
    </row>
    <row r="126" spans="1:2" x14ac:dyDescent="0.25">
      <c r="A126" s="1">
        <v>197</v>
      </c>
    </row>
    <row r="127" spans="1:2" x14ac:dyDescent="0.25">
      <c r="A127" s="1">
        <v>317</v>
      </c>
      <c r="B127" t="s">
        <v>26</v>
      </c>
    </row>
    <row r="128" spans="1:2" x14ac:dyDescent="0.25">
      <c r="A128" s="1">
        <v>339</v>
      </c>
    </row>
    <row r="129" spans="1:1" x14ac:dyDescent="0.25">
      <c r="A129" s="1">
        <v>323</v>
      </c>
    </row>
    <row r="130" spans="1:1" x14ac:dyDescent="0.25">
      <c r="A130" s="1">
        <v>329</v>
      </c>
    </row>
    <row r="131" spans="1:1" x14ac:dyDescent="0.25">
      <c r="A131" s="1">
        <v>334</v>
      </c>
    </row>
    <row r="132" spans="1:1" x14ac:dyDescent="0.25">
      <c r="A132" s="1">
        <v>362</v>
      </c>
    </row>
    <row r="133" spans="1:1" x14ac:dyDescent="0.25">
      <c r="A133" s="1">
        <v>331</v>
      </c>
    </row>
    <row r="134" spans="1:1" x14ac:dyDescent="0.25">
      <c r="A134" s="1">
        <v>345</v>
      </c>
    </row>
    <row r="135" spans="1:1" x14ac:dyDescent="0.25">
      <c r="A135" s="1">
        <v>342</v>
      </c>
    </row>
    <row r="136" spans="1:1" x14ac:dyDescent="0.25">
      <c r="A136" s="1">
        <v>334</v>
      </c>
    </row>
    <row r="137" spans="1:1" x14ac:dyDescent="0.25">
      <c r="A137" s="1">
        <v>359</v>
      </c>
    </row>
    <row r="138" spans="1:1" x14ac:dyDescent="0.25">
      <c r="A138" s="1">
        <v>378</v>
      </c>
    </row>
    <row r="139" spans="1:1" x14ac:dyDescent="0.25">
      <c r="A139" s="1">
        <v>338</v>
      </c>
    </row>
    <row r="140" spans="1:1" x14ac:dyDescent="0.25">
      <c r="A140" s="1">
        <v>348</v>
      </c>
    </row>
    <row r="141" spans="1:1" x14ac:dyDescent="0.25">
      <c r="A141" s="1">
        <v>342</v>
      </c>
    </row>
    <row r="142" spans="1:1" x14ac:dyDescent="0.25">
      <c r="A142" s="1">
        <v>335</v>
      </c>
    </row>
    <row r="143" spans="1:1" x14ac:dyDescent="0.25">
      <c r="A143" s="1">
        <v>341</v>
      </c>
    </row>
    <row r="144" spans="1:1" x14ac:dyDescent="0.25">
      <c r="A144" s="1">
        <v>329</v>
      </c>
    </row>
    <row r="145" spans="1:3" x14ac:dyDescent="0.25">
      <c r="A145" s="1">
        <v>348</v>
      </c>
    </row>
    <row r="146" spans="1:3" x14ac:dyDescent="0.25">
      <c r="A146" s="1">
        <v>336</v>
      </c>
    </row>
    <row r="147" spans="1:3" x14ac:dyDescent="0.25">
      <c r="A147" s="1">
        <v>341</v>
      </c>
    </row>
    <row r="148" spans="1:3" x14ac:dyDescent="0.25">
      <c r="A148" s="1">
        <v>336</v>
      </c>
      <c r="C148" t="s">
        <v>27</v>
      </c>
    </row>
    <row r="149" spans="1:3" x14ac:dyDescent="0.25">
      <c r="A149" s="1">
        <v>391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ae6c15-9962-46ae-a768-8deca3649a65" xsi:nil="true"/>
    <HideFromDelve xmlns="71c5aaf6-e6ce-465b-b873-5148d2a4c105">false</HideFromDelve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9548D02695F479F904726726C80A8" ma:contentTypeVersion="21" ma:contentTypeDescription="Create a new document." ma:contentTypeScope="" ma:versionID="562af8a2db575b3f937fec3f93fa439b">
  <xsd:schema xmlns:xsd="http://www.w3.org/2001/XMLSchema" xmlns:xs="http://www.w3.org/2001/XMLSchema" xmlns:p="http://schemas.microsoft.com/office/2006/metadata/properties" xmlns:ns3="71c5aaf6-e6ce-465b-b873-5148d2a4c105" xmlns:ns4="55ae6c15-9962-46ae-a768-8deca3649a65" xmlns:ns5="28d22441-8343-43f8-ac6d-b59b0fa8fca6" targetNamespace="http://schemas.microsoft.com/office/2006/metadata/properties" ma:root="true" ma:fieldsID="c06e45c238c418bedf86f826b1153623" ns3:_="" ns4:_="" ns5:_="">
    <xsd:import namespace="71c5aaf6-e6ce-465b-b873-5148d2a4c105"/>
    <xsd:import namespace="55ae6c15-9962-46ae-a768-8deca3649a65"/>
    <xsd:import namespace="28d22441-8343-43f8-ac6d-b59b0fa8fca6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3:HideFromDelve" minOccurs="0"/>
                <xsd:element ref="ns4:MediaServiceMetadata" minOccurs="0"/>
                <xsd:element ref="ns4:MediaServiceFastMetadata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e6c15-9962-46ae-a768-8deca3649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_activity" ma:index="26" nillable="true" ma:displayName="_activity" ma:hidden="true" ma:internalName="_activity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22441-8343-43f8-ac6d-b59b0fa8f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34c87397-5fc1-491e-85e7-d6110dbe9cbd" ContentTypeId="0x0101" PreviousValue="false"/>
</file>

<file path=customXml/itemProps1.xml><?xml version="1.0" encoding="utf-8"?>
<ds:datastoreItem xmlns:ds="http://schemas.openxmlformats.org/officeDocument/2006/customXml" ds:itemID="{C8BD4568-6137-417D-A844-2154B16E28D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FB85D7D-908D-4FFB-ADE8-72BBE2114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A565B-08E3-45CB-BFA7-EC8D2A6877C9}">
  <ds:schemaRefs>
    <ds:schemaRef ds:uri="http://schemas.microsoft.com/office/2006/metadata/properties"/>
    <ds:schemaRef ds:uri="http://schemas.microsoft.com/office/infopath/2007/PartnerControls"/>
    <ds:schemaRef ds:uri="55ae6c15-9962-46ae-a768-8deca3649a65"/>
    <ds:schemaRef ds:uri="71c5aaf6-e6ce-465b-b873-5148d2a4c105"/>
  </ds:schemaRefs>
</ds:datastoreItem>
</file>

<file path=customXml/itemProps4.xml><?xml version="1.0" encoding="utf-8"?>
<ds:datastoreItem xmlns:ds="http://schemas.openxmlformats.org/officeDocument/2006/customXml" ds:itemID="{4B6714C7-175A-4B67-8B81-DBE0B72C5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55ae6c15-9962-46ae-a768-8deca3649a65"/>
    <ds:schemaRef ds:uri="28d22441-8343-43f8-ac6d-b59b0fa8fc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64DDA0F-80E6-4002-9DAE-EC484B7DEF0E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HW &amp; Old SW</vt:lpstr>
      <vt:lpstr>Old SW Spring 2024</vt:lpstr>
      <vt:lpstr>New SW Sep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2018-11-15T11:32:42Z</dcterms:created>
  <dcterms:modified xsi:type="dcterms:W3CDTF">2025-02-17T08:18:20Z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0x0101002779548D02695F479F904726726C80A8</vt:lpwstr>
  </property>
  <property fmtid="{D5CDD505-2E9C-101B-9397-08002B2CF9AE}" pid="3" name="MSIP_Label_59bfe634-5369-40ae-a17a-0ffc3537e7cd_Enabled">
    <vt:lpwstr>true</vt:lpwstr>
  </property>
  <property fmtid="{D5CDD505-2E9C-101B-9397-08002B2CF9AE}" pid="4" name="MSIP_Label_59bfe634-5369-40ae-a17a-0ffc3537e7cd_SetDate">
    <vt:lpwstr>2024-12-09T08:23:00Z</vt:lpwstr>
  </property>
  <property fmtid="{D5CDD505-2E9C-101B-9397-08002B2CF9AE}" pid="5" name="MSIP_Label_59bfe634-5369-40ae-a17a-0ffc3537e7cd_Method">
    <vt:lpwstr>Standard</vt:lpwstr>
  </property>
  <property fmtid="{D5CDD505-2E9C-101B-9397-08002B2CF9AE}" pid="6" name="MSIP_Label_59bfe634-5369-40ae-a17a-0ffc3537e7cd_Name">
    <vt:lpwstr>59bfe634-5369-40ae-a17a-0ffc3537e7cd</vt:lpwstr>
  </property>
  <property fmtid="{D5CDD505-2E9C-101B-9397-08002B2CF9AE}" pid="7" name="MSIP_Label_59bfe634-5369-40ae-a17a-0ffc3537e7cd_SiteId">
    <vt:lpwstr>05764a73-8c6f-4538-83cd-413f1e1b5665</vt:lpwstr>
  </property>
  <property fmtid="{D5CDD505-2E9C-101B-9397-08002B2CF9AE}" pid="8" name="MSIP_Label_59bfe634-5369-40ae-a17a-0ffc3537e7cd_ActionId">
    <vt:lpwstr>de5fc127-cbf8-471c-a38d-3e9214e5bd57</vt:lpwstr>
  </property>
  <property fmtid="{D5CDD505-2E9C-101B-9397-08002B2CF9AE}" pid="9" name="MSIP_Label_59bfe634-5369-40ae-a17a-0ffc3537e7cd_ContentBits">
    <vt:lpwstr>0</vt:lpwstr>
  </property>
</Properties>
</file>